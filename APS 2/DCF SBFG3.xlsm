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6b56f6a29d33616/Joao/Insper/4 semestre/Finanças 2/APS/APS 3/"/>
    </mc:Choice>
  </mc:AlternateContent>
  <xr:revisionPtr revIDLastSave="11079" documentId="8_{D476DE50-89FE-445C-848C-89C8831E7C76}" xr6:coauthVersionLast="47" xr6:coauthVersionMax="47" xr10:uidLastSave="{36BF9463-8388-4DD5-855F-C4AF3A158A9D}"/>
  <bookViews>
    <workbookView xWindow="-108" yWindow="-108" windowWidth="23256" windowHeight="12456" activeTab="3" xr2:uid="{24B8B091-A27F-4BA2-A808-7A381D5CC673}"/>
  </bookViews>
  <sheets>
    <sheet name="CENÁRIOS" sheetId="6" r:id="rId1"/>
    <sheet name="VALUATION" sheetId="1" r:id="rId2"/>
    <sheet name="Projeção Receita" sheetId="7" r:id="rId3"/>
    <sheet name="CAPEX" sheetId="5" r:id="rId4"/>
    <sheet name="DRE" sheetId="3" r:id="rId5"/>
    <sheet name="BALANÇO" sheetId="4" r:id="rId6"/>
    <sheet name="Estrutura de Capital" sheetId="2" r:id="rId7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2" l="1"/>
  <c r="M24" i="1"/>
  <c r="M25" i="1"/>
  <c r="M23" i="1"/>
  <c r="F10" i="2"/>
  <c r="C191" i="1"/>
  <c r="F14" i="2"/>
  <c r="E12" i="2"/>
  <c r="H11" i="1"/>
  <c r="H10" i="1"/>
  <c r="I10" i="1" s="1"/>
  <c r="J10" i="1" s="1"/>
  <c r="K10" i="1" s="1"/>
  <c r="L10" i="1" s="1"/>
  <c r="M10" i="1" s="1"/>
  <c r="C205" i="1" l="1"/>
  <c r="U31" i="6"/>
  <c r="U28" i="6"/>
  <c r="C15" i="6" l="1"/>
  <c r="D15" i="6"/>
  <c r="E15" i="6"/>
  <c r="F15" i="6"/>
  <c r="C20" i="6"/>
  <c r="D20" i="6"/>
  <c r="E20" i="6"/>
  <c r="F20" i="6"/>
  <c r="C21" i="6"/>
  <c r="D21" i="6"/>
  <c r="E21" i="6"/>
  <c r="F21" i="6"/>
  <c r="D9" i="6"/>
  <c r="E9" i="6"/>
  <c r="F9" i="6"/>
  <c r="C9" i="6"/>
  <c r="H9" i="6" s="1"/>
  <c r="G9" i="6" l="1"/>
  <c r="H21" i="6"/>
  <c r="G20" i="6"/>
  <c r="G21" i="6"/>
  <c r="H15" i="6"/>
  <c r="G15" i="6"/>
  <c r="H20" i="6"/>
  <c r="I10" i="6"/>
  <c r="I12" i="6"/>
  <c r="I11" i="6"/>
  <c r="C182" i="1" l="1" a="1"/>
  <c r="C182" i="1" s="1"/>
  <c r="C192" i="1"/>
  <c r="D5" i="6" l="1"/>
  <c r="E5" i="6"/>
  <c r="F5" i="6"/>
  <c r="D6" i="6"/>
  <c r="E6" i="6"/>
  <c r="F6" i="6"/>
  <c r="C6" i="6"/>
  <c r="C5" i="6"/>
  <c r="D4" i="6"/>
  <c r="E4" i="6"/>
  <c r="F4" i="6"/>
  <c r="C4" i="6"/>
  <c r="H5" i="6" l="1"/>
  <c r="H6" i="1" s="1"/>
  <c r="I6" i="1" s="1"/>
  <c r="J6" i="1" s="1"/>
  <c r="K6" i="1" s="1"/>
  <c r="L6" i="1" s="1"/>
  <c r="M6" i="1" s="1"/>
  <c r="G6" i="6"/>
  <c r="H4" i="6"/>
  <c r="H5" i="1" s="1"/>
  <c r="I5" i="1" s="1"/>
  <c r="J5" i="1" s="1"/>
  <c r="K5" i="1" s="1"/>
  <c r="L5" i="1" s="1"/>
  <c r="M5" i="1" s="1"/>
  <c r="G5" i="6"/>
  <c r="H6" i="6"/>
  <c r="G4" i="6"/>
  <c r="H7" i="1" l="1"/>
  <c r="I7" i="1" s="1"/>
  <c r="J7" i="1" s="1"/>
  <c r="K7" i="1" s="1"/>
  <c r="L7" i="1" s="1"/>
  <c r="M7" i="1" s="1"/>
  <c r="I16" i="1"/>
  <c r="J16" i="1"/>
  <c r="K16" i="1"/>
  <c r="L16" i="1"/>
  <c r="M16" i="1"/>
  <c r="H16" i="1"/>
  <c r="D8" i="6" l="1"/>
  <c r="E8" i="6"/>
  <c r="F8" i="6"/>
  <c r="C8" i="6"/>
  <c r="D7" i="6"/>
  <c r="E7" i="6"/>
  <c r="F7" i="6"/>
  <c r="C7" i="6"/>
  <c r="H18" i="1"/>
  <c r="I4" i="1"/>
  <c r="J4" i="1"/>
  <c r="K4" i="1"/>
  <c r="L4" i="1"/>
  <c r="M4" i="1"/>
  <c r="H4" i="1"/>
  <c r="D113" i="1"/>
  <c r="E113" i="1"/>
  <c r="F113" i="1"/>
  <c r="G113" i="1"/>
  <c r="C113" i="1"/>
  <c r="H121" i="1"/>
  <c r="I121" i="1"/>
  <c r="J121" i="1"/>
  <c r="K121" i="1"/>
  <c r="L121" i="1"/>
  <c r="M121" i="1"/>
  <c r="H60" i="1"/>
  <c r="I60" i="1" s="1"/>
  <c r="J60" i="1" s="1"/>
  <c r="K60" i="1" s="1"/>
  <c r="L60" i="1" s="1"/>
  <c r="M60" i="1" s="1"/>
  <c r="H66" i="1"/>
  <c r="I66" i="1"/>
  <c r="J66" i="1"/>
  <c r="K66" i="1"/>
  <c r="L66" i="1"/>
  <c r="M66" i="1"/>
  <c r="G59" i="1"/>
  <c r="G8" i="6" l="1"/>
  <c r="H7" i="6"/>
  <c r="H8" i="6"/>
  <c r="I11" i="1" s="1"/>
  <c r="J11" i="1" s="1"/>
  <c r="K11" i="1" s="1"/>
  <c r="L11" i="1" s="1"/>
  <c r="M11" i="1" s="1"/>
  <c r="G7" i="6"/>
  <c r="I18" i="1"/>
  <c r="J18" i="1" s="1"/>
  <c r="H61" i="1"/>
  <c r="I61" i="1" s="1"/>
  <c r="J61" i="1" s="1"/>
  <c r="K61" i="1" s="1"/>
  <c r="L61" i="1" s="1"/>
  <c r="M61" i="1" s="1"/>
  <c r="H32" i="1"/>
  <c r="I32" i="1" l="1"/>
  <c r="J32" i="1" s="1"/>
  <c r="K32" i="1" s="1"/>
  <c r="L32" i="1" s="1"/>
  <c r="M32" i="1" s="1"/>
  <c r="J9" i="1"/>
  <c r="J8" i="1" s="1"/>
  <c r="H9" i="1"/>
  <c r="H8" i="1" s="1"/>
  <c r="I9" i="1"/>
  <c r="K18" i="1"/>
  <c r="H59" i="1"/>
  <c r="I59" i="1"/>
  <c r="I8" i="1" l="1"/>
  <c r="N31" i="6" s="1"/>
  <c r="M9" i="1"/>
  <c r="L9" i="1"/>
  <c r="K9" i="1"/>
  <c r="K8" i="1" s="1"/>
  <c r="L18" i="1"/>
  <c r="J59" i="1"/>
  <c r="L8" i="1" l="1"/>
  <c r="N30" i="6"/>
  <c r="M18" i="1"/>
  <c r="M8" i="1" s="1"/>
  <c r="K59" i="1"/>
  <c r="M59" i="1" l="1"/>
  <c r="L59" i="1"/>
  <c r="F169" i="1" l="1"/>
  <c r="E169" i="1"/>
  <c r="D169" i="1"/>
  <c r="G169" i="1"/>
  <c r="C169" i="1"/>
  <c r="C183" i="1" l="1" a="1"/>
  <c r="C183" i="1" s="1"/>
  <c r="D118" i="1"/>
  <c r="E118" i="1"/>
  <c r="F118" i="1"/>
  <c r="G118" i="1"/>
  <c r="C118" i="1"/>
  <c r="C148" i="1" s="1"/>
  <c r="P90" i="1"/>
  <c r="C190" i="1"/>
  <c r="F15" i="2"/>
  <c r="C14" i="2"/>
  <c r="D14" i="2"/>
  <c r="E14" i="2"/>
  <c r="C15" i="2"/>
  <c r="D15" i="2"/>
  <c r="E15" i="2"/>
  <c r="B15" i="2"/>
  <c r="B14" i="2"/>
  <c r="C12" i="2"/>
  <c r="D12" i="2"/>
  <c r="F12" i="2"/>
  <c r="C11" i="2"/>
  <c r="D11" i="2"/>
  <c r="E11" i="2"/>
  <c r="F11" i="2"/>
  <c r="B11" i="2"/>
  <c r="C10" i="2"/>
  <c r="D10" i="2"/>
  <c r="E10" i="2"/>
  <c r="B10" i="2"/>
  <c r="C9" i="2"/>
  <c r="D9" i="2"/>
  <c r="E9" i="2"/>
  <c r="F9" i="2"/>
  <c r="B9" i="2"/>
  <c r="C8" i="2"/>
  <c r="D8" i="2"/>
  <c r="E8" i="2"/>
  <c r="F8" i="2"/>
  <c r="B8" i="2"/>
  <c r="C7" i="2"/>
  <c r="D7" i="2"/>
  <c r="E7" i="2"/>
  <c r="F7" i="2"/>
  <c r="B7" i="2"/>
  <c r="C6" i="2"/>
  <c r="D6" i="2"/>
  <c r="E6" i="2"/>
  <c r="F6" i="2"/>
  <c r="B6" i="2"/>
  <c r="C5" i="2"/>
  <c r="D5" i="2"/>
  <c r="E5" i="2"/>
  <c r="F5" i="2"/>
  <c r="B5" i="2"/>
  <c r="B3" i="2"/>
  <c r="C3" i="2"/>
  <c r="D3" i="2"/>
  <c r="E3" i="2"/>
  <c r="F3" i="2"/>
  <c r="D121" i="1"/>
  <c r="E121" i="1"/>
  <c r="F121" i="1"/>
  <c r="G121" i="1"/>
  <c r="C121" i="1"/>
  <c r="D116" i="1"/>
  <c r="E116" i="1"/>
  <c r="F116" i="1"/>
  <c r="G116" i="1"/>
  <c r="C116" i="1"/>
  <c r="D124" i="1"/>
  <c r="E124" i="1"/>
  <c r="F124" i="1"/>
  <c r="G124" i="1"/>
  <c r="C124" i="1"/>
  <c r="D89" i="1"/>
  <c r="E89" i="1"/>
  <c r="F89" i="1"/>
  <c r="G89" i="1"/>
  <c r="C89" i="1"/>
  <c r="D88" i="1"/>
  <c r="E88" i="1"/>
  <c r="D24" i="6" s="1"/>
  <c r="F88" i="1"/>
  <c r="G88" i="1"/>
  <c r="C88" i="1"/>
  <c r="D87" i="1"/>
  <c r="E87" i="1"/>
  <c r="F87" i="1"/>
  <c r="G87" i="1"/>
  <c r="C87" i="1"/>
  <c r="D128" i="1"/>
  <c r="E128" i="1"/>
  <c r="F128" i="1"/>
  <c r="G128" i="1"/>
  <c r="C128" i="1"/>
  <c r="D125" i="1"/>
  <c r="E125" i="1"/>
  <c r="F125" i="1"/>
  <c r="E36" i="6" s="1"/>
  <c r="G125" i="1"/>
  <c r="C125" i="1"/>
  <c r="C147" i="1" s="1"/>
  <c r="D115" i="1"/>
  <c r="E115" i="1"/>
  <c r="F115" i="1"/>
  <c r="G115" i="1"/>
  <c r="C115" i="1"/>
  <c r="D112" i="1"/>
  <c r="E112" i="1"/>
  <c r="F112" i="1"/>
  <c r="G112" i="1"/>
  <c r="C112" i="1"/>
  <c r="D110" i="1"/>
  <c r="D137" i="1" s="1"/>
  <c r="D166" i="1" s="1"/>
  <c r="E110" i="1"/>
  <c r="E137" i="1" s="1"/>
  <c r="E166" i="1" s="1"/>
  <c r="F110" i="1"/>
  <c r="F137" i="1" s="1"/>
  <c r="F166" i="1" s="1"/>
  <c r="G110" i="1"/>
  <c r="G137" i="1" s="1"/>
  <c r="G166" i="1" s="1"/>
  <c r="C110" i="1"/>
  <c r="C137" i="1" s="1"/>
  <c r="C166" i="1" s="1"/>
  <c r="D109" i="1"/>
  <c r="E109" i="1"/>
  <c r="E142" i="1" s="1"/>
  <c r="F109" i="1"/>
  <c r="F142" i="1" s="1"/>
  <c r="G109" i="1"/>
  <c r="C109" i="1"/>
  <c r="C142" i="1" s="1"/>
  <c r="C144" i="1" s="1"/>
  <c r="D142" i="1" l="1"/>
  <c r="C28" i="6"/>
  <c r="C90" i="1"/>
  <c r="C91" i="1" s="1"/>
  <c r="C32" i="6"/>
  <c r="G142" i="1"/>
  <c r="D36" i="6"/>
  <c r="E35" i="6"/>
  <c r="E33" i="6"/>
  <c r="C24" i="6"/>
  <c r="C33" i="6"/>
  <c r="E28" i="6"/>
  <c r="F24" i="6"/>
  <c r="E144" i="1"/>
  <c r="E25" i="6"/>
  <c r="E32" i="6"/>
  <c r="E30" i="6"/>
  <c r="C36" i="6"/>
  <c r="E23" i="6"/>
  <c r="D35" i="6"/>
  <c r="D33" i="6"/>
  <c r="D23" i="6"/>
  <c r="F25" i="6"/>
  <c r="H89" i="1"/>
  <c r="C35" i="6"/>
  <c r="F35" i="6"/>
  <c r="H124" i="1"/>
  <c r="I124" i="1" s="1"/>
  <c r="J124" i="1" s="1"/>
  <c r="K124" i="1" s="1"/>
  <c r="L124" i="1" s="1"/>
  <c r="M124" i="1" s="1"/>
  <c r="F23" i="6"/>
  <c r="H87" i="1"/>
  <c r="C23" i="6"/>
  <c r="F33" i="6"/>
  <c r="H118" i="1"/>
  <c r="F30" i="6"/>
  <c r="H109" i="1"/>
  <c r="H142" i="1" s="1"/>
  <c r="D30" i="6"/>
  <c r="H112" i="1"/>
  <c r="F28" i="6"/>
  <c r="D25" i="6"/>
  <c r="F32" i="6"/>
  <c r="C30" i="6"/>
  <c r="C25" i="6"/>
  <c r="D28" i="6"/>
  <c r="F36" i="6"/>
  <c r="H125" i="1"/>
  <c r="E24" i="6"/>
  <c r="D32" i="6"/>
  <c r="G147" i="1"/>
  <c r="G119" i="1"/>
  <c r="F119" i="1"/>
  <c r="G90" i="1"/>
  <c r="G148" i="1"/>
  <c r="E147" i="1"/>
  <c r="E148" i="1"/>
  <c r="F90" i="1"/>
  <c r="F148" i="1"/>
  <c r="E90" i="1"/>
  <c r="D90" i="1"/>
  <c r="D147" i="1"/>
  <c r="F147" i="1"/>
  <c r="D148" i="1"/>
  <c r="C119" i="1"/>
  <c r="D119" i="1"/>
  <c r="E119" i="1"/>
  <c r="F129" i="1"/>
  <c r="G129" i="1"/>
  <c r="D129" i="1"/>
  <c r="E129" i="1"/>
  <c r="C129" i="1"/>
  <c r="D91" i="1" l="1"/>
  <c r="D168" i="1" s="1"/>
  <c r="I87" i="1"/>
  <c r="J87" i="1" s="1"/>
  <c r="K87" i="1" s="1"/>
  <c r="L87" i="1" s="1"/>
  <c r="M87" i="1" s="1"/>
  <c r="G24" i="6"/>
  <c r="G33" i="6"/>
  <c r="G36" i="6"/>
  <c r="H33" i="6"/>
  <c r="I112" i="1"/>
  <c r="H113" i="1"/>
  <c r="H128" i="1" s="1"/>
  <c r="H129" i="1" s="1"/>
  <c r="I125" i="1"/>
  <c r="H147" i="1"/>
  <c r="I118" i="1"/>
  <c r="H148" i="1"/>
  <c r="H24" i="6"/>
  <c r="H88" i="1" s="1"/>
  <c r="I88" i="1" s="1"/>
  <c r="J88" i="1" s="1"/>
  <c r="K88" i="1" s="1"/>
  <c r="L88" i="1" s="1"/>
  <c r="M88" i="1" s="1"/>
  <c r="H32" i="6"/>
  <c r="H116" i="1" s="1"/>
  <c r="I116" i="1" s="1"/>
  <c r="J116" i="1" s="1"/>
  <c r="K116" i="1" s="1"/>
  <c r="L116" i="1" s="1"/>
  <c r="M116" i="1" s="1"/>
  <c r="G28" i="6"/>
  <c r="H36" i="6"/>
  <c r="H23" i="6"/>
  <c r="G23" i="6"/>
  <c r="H35" i="6"/>
  <c r="G35" i="6"/>
  <c r="H25" i="6"/>
  <c r="G25" i="6"/>
  <c r="H106" i="1"/>
  <c r="I89" i="1"/>
  <c r="H107" i="1"/>
  <c r="G30" i="6"/>
  <c r="H30" i="6"/>
  <c r="G144" i="1"/>
  <c r="I109" i="1"/>
  <c r="I142" i="1" s="1"/>
  <c r="H28" i="6"/>
  <c r="G32" i="6"/>
  <c r="E91" i="1"/>
  <c r="E168" i="1" s="1"/>
  <c r="G91" i="1"/>
  <c r="G168" i="1" s="1"/>
  <c r="F91" i="1"/>
  <c r="F138" i="1" s="1"/>
  <c r="D144" i="1"/>
  <c r="C168" i="1"/>
  <c r="C138" i="1"/>
  <c r="F144" i="1"/>
  <c r="J118" i="1" l="1"/>
  <c r="I148" i="1"/>
  <c r="J125" i="1"/>
  <c r="I147" i="1"/>
  <c r="J112" i="1"/>
  <c r="I113" i="1"/>
  <c r="I128" i="1" s="1"/>
  <c r="I129" i="1" s="1"/>
  <c r="H119" i="1"/>
  <c r="H115" i="1"/>
  <c r="H90" i="1"/>
  <c r="H91" i="1" s="1"/>
  <c r="I115" i="1"/>
  <c r="I107" i="1"/>
  <c r="J89" i="1"/>
  <c r="J109" i="1"/>
  <c r="J142" i="1" s="1"/>
  <c r="H144" i="1"/>
  <c r="I106" i="1"/>
  <c r="I90" i="1"/>
  <c r="I119" i="1"/>
  <c r="G138" i="1"/>
  <c r="E138" i="1"/>
  <c r="F168" i="1"/>
  <c r="D138" i="1"/>
  <c r="D70" i="1"/>
  <c r="E70" i="1"/>
  <c r="F70" i="1"/>
  <c r="G70" i="1"/>
  <c r="C70" i="1"/>
  <c r="D66" i="1"/>
  <c r="E66" i="1"/>
  <c r="F66" i="1"/>
  <c r="G66" i="1"/>
  <c r="C66" i="1"/>
  <c r="D65" i="1"/>
  <c r="E65" i="1"/>
  <c r="F65" i="1"/>
  <c r="G65" i="1"/>
  <c r="C65" i="1"/>
  <c r="C59" i="1"/>
  <c r="D59" i="1"/>
  <c r="E59" i="1"/>
  <c r="F59" i="1"/>
  <c r="D48" i="1"/>
  <c r="E48" i="1"/>
  <c r="D19" i="6" s="1"/>
  <c r="F48" i="1"/>
  <c r="E19" i="6" s="1"/>
  <c r="G48" i="1"/>
  <c r="F19" i="6" s="1"/>
  <c r="C48" i="1"/>
  <c r="C19" i="6" l="1"/>
  <c r="I91" i="1"/>
  <c r="I138" i="1" s="1"/>
  <c r="K112" i="1"/>
  <c r="J113" i="1"/>
  <c r="J128" i="1" s="1"/>
  <c r="J129" i="1" s="1"/>
  <c r="K125" i="1"/>
  <c r="J147" i="1"/>
  <c r="H138" i="1"/>
  <c r="H168" i="1"/>
  <c r="K118" i="1"/>
  <c r="J148" i="1"/>
  <c r="I144" i="1"/>
  <c r="K109" i="1"/>
  <c r="K142" i="1" s="1"/>
  <c r="J119" i="1"/>
  <c r="K89" i="1"/>
  <c r="J107" i="1"/>
  <c r="J106" i="1"/>
  <c r="J90" i="1"/>
  <c r="J91" i="1" s="1"/>
  <c r="J115" i="1"/>
  <c r="G146" i="1"/>
  <c r="G150" i="1" s="1"/>
  <c r="H70" i="1"/>
  <c r="F146" i="1"/>
  <c r="F150" i="1" s="1"/>
  <c r="E146" i="1"/>
  <c r="E150" i="1" s="1"/>
  <c r="C146" i="1"/>
  <c r="C150" i="1" s="1"/>
  <c r="D146" i="1"/>
  <c r="D150" i="1" s="1"/>
  <c r="H19" i="6" l="1"/>
  <c r="G19" i="6"/>
  <c r="I168" i="1"/>
  <c r="L125" i="1"/>
  <c r="K147" i="1"/>
  <c r="J138" i="1"/>
  <c r="J168" i="1"/>
  <c r="L112" i="1"/>
  <c r="K113" i="1"/>
  <c r="K128" i="1" s="1"/>
  <c r="K129" i="1" s="1"/>
  <c r="L118" i="1"/>
  <c r="K148" i="1"/>
  <c r="K119" i="1"/>
  <c r="J144" i="1"/>
  <c r="L109" i="1"/>
  <c r="L142" i="1" s="1"/>
  <c r="K115" i="1"/>
  <c r="K106" i="1"/>
  <c r="K90" i="1"/>
  <c r="K91" i="1" s="1"/>
  <c r="K107" i="1"/>
  <c r="L89" i="1"/>
  <c r="H146" i="1"/>
  <c r="H150" i="1" s="1"/>
  <c r="I70" i="1"/>
  <c r="H48" i="1" l="1"/>
  <c r="I48" i="1" s="1"/>
  <c r="J48" i="1" s="1"/>
  <c r="K48" i="1" s="1"/>
  <c r="L48" i="1" s="1"/>
  <c r="M48" i="1" s="1"/>
  <c r="K138" i="1"/>
  <c r="K168" i="1"/>
  <c r="M112" i="1"/>
  <c r="L113" i="1"/>
  <c r="L128" i="1" s="1"/>
  <c r="L129" i="1" s="1"/>
  <c r="M118" i="1"/>
  <c r="M148" i="1" s="1"/>
  <c r="L148" i="1"/>
  <c r="M125" i="1"/>
  <c r="M147" i="1" s="1"/>
  <c r="L147" i="1"/>
  <c r="L106" i="1"/>
  <c r="L90" i="1"/>
  <c r="L91" i="1" s="1"/>
  <c r="L115" i="1"/>
  <c r="L107" i="1"/>
  <c r="M89" i="1"/>
  <c r="M107" i="1" s="1"/>
  <c r="L119" i="1"/>
  <c r="I146" i="1"/>
  <c r="I150" i="1" s="1"/>
  <c r="J70" i="1"/>
  <c r="M109" i="1"/>
  <c r="M142" i="1" s="1"/>
  <c r="K144" i="1"/>
  <c r="H137" i="1" l="1"/>
  <c r="H169" i="1" s="1"/>
  <c r="H166" i="1"/>
  <c r="H110" i="1"/>
  <c r="I137" i="1"/>
  <c r="I169" i="1" s="1"/>
  <c r="I110" i="1"/>
  <c r="I166" i="1"/>
  <c r="M119" i="1"/>
  <c r="M113" i="1"/>
  <c r="M128" i="1" s="1"/>
  <c r="M129" i="1" s="1"/>
  <c r="L138" i="1"/>
  <c r="L168" i="1"/>
  <c r="M106" i="1"/>
  <c r="M90" i="1"/>
  <c r="M91" i="1" s="1"/>
  <c r="L144" i="1"/>
  <c r="M144" i="1"/>
  <c r="M115" i="1"/>
  <c r="K70" i="1"/>
  <c r="J146" i="1"/>
  <c r="J150" i="1" s="1"/>
  <c r="J166" i="1"/>
  <c r="J137" i="1"/>
  <c r="J169" i="1" s="1"/>
  <c r="J110" i="1"/>
  <c r="D42" i="1"/>
  <c r="C18" i="6" s="1"/>
  <c r="E42" i="1"/>
  <c r="D18" i="6" s="1"/>
  <c r="F42" i="1"/>
  <c r="E18" i="6" s="1"/>
  <c r="G42" i="1"/>
  <c r="F18" i="6" s="1"/>
  <c r="C42" i="1"/>
  <c r="D39" i="1"/>
  <c r="E39" i="1"/>
  <c r="D17" i="6" s="1"/>
  <c r="F39" i="1"/>
  <c r="E17" i="6" s="1"/>
  <c r="G39" i="1"/>
  <c r="F17" i="6" s="1"/>
  <c r="C39" i="1"/>
  <c r="D35" i="1"/>
  <c r="C16" i="6" s="1"/>
  <c r="E35" i="1"/>
  <c r="D16" i="6" s="1"/>
  <c r="F35" i="1"/>
  <c r="G35" i="1"/>
  <c r="C35" i="1"/>
  <c r="D31" i="1"/>
  <c r="E31" i="1"/>
  <c r="F31" i="1"/>
  <c r="G31" i="1"/>
  <c r="C31" i="1"/>
  <c r="C33" i="1" s="1"/>
  <c r="C84" i="1" s="1"/>
  <c r="C98" i="1" s="1"/>
  <c r="C100" i="1" s="1"/>
  <c r="G107" i="1"/>
  <c r="D107" i="1"/>
  <c r="E107" i="1"/>
  <c r="F107" i="1"/>
  <c r="C107" i="1"/>
  <c r="D106" i="1"/>
  <c r="E106" i="1"/>
  <c r="F106" i="1"/>
  <c r="G106" i="1"/>
  <c r="C106" i="1"/>
  <c r="D105" i="1"/>
  <c r="E105" i="1"/>
  <c r="F105" i="1"/>
  <c r="G105" i="1"/>
  <c r="C105" i="1"/>
  <c r="H31" i="1" l="1"/>
  <c r="I31" i="1" s="1"/>
  <c r="J31" i="1" s="1"/>
  <c r="K31" i="1" s="1"/>
  <c r="L31" i="1" s="1"/>
  <c r="M31" i="1" s="1"/>
  <c r="H18" i="6"/>
  <c r="G18" i="6"/>
  <c r="F16" i="6"/>
  <c r="C17" i="6"/>
  <c r="E16" i="6"/>
  <c r="C82" i="1"/>
  <c r="C83" i="1"/>
  <c r="F14" i="6"/>
  <c r="D29" i="6"/>
  <c r="M138" i="1"/>
  <c r="M168" i="1"/>
  <c r="E29" i="6"/>
  <c r="C29" i="6"/>
  <c r="D33" i="1"/>
  <c r="D43" i="1" s="1"/>
  <c r="C14" i="6"/>
  <c r="K166" i="1"/>
  <c r="K137" i="1"/>
  <c r="K169" i="1" s="1"/>
  <c r="K110" i="1"/>
  <c r="E33" i="1"/>
  <c r="E43" i="1" s="1"/>
  <c r="D14" i="6"/>
  <c r="C43" i="1"/>
  <c r="G82" i="1"/>
  <c r="L70" i="1"/>
  <c r="K146" i="1"/>
  <c r="K150" i="1" s="1"/>
  <c r="F29" i="6"/>
  <c r="H105" i="1"/>
  <c r="C177" i="1" s="1"/>
  <c r="F33" i="1"/>
  <c r="F36" i="1" s="1"/>
  <c r="E14" i="6"/>
  <c r="C40" i="1"/>
  <c r="G33" i="1"/>
  <c r="G84" i="1" s="1"/>
  <c r="E83" i="1"/>
  <c r="E82" i="1"/>
  <c r="G83" i="1"/>
  <c r="D82" i="1"/>
  <c r="D83" i="1"/>
  <c r="C120" i="1"/>
  <c r="C122" i="1" s="1"/>
  <c r="G120" i="1"/>
  <c r="G122" i="1" s="1"/>
  <c r="F120" i="1"/>
  <c r="F122" i="1" s="1"/>
  <c r="F83" i="1"/>
  <c r="F82" i="1"/>
  <c r="E120" i="1"/>
  <c r="E122" i="1" s="1"/>
  <c r="D120" i="1"/>
  <c r="D122" i="1" s="1"/>
  <c r="C36" i="1"/>
  <c r="G16" i="6" l="1"/>
  <c r="G17" i="6"/>
  <c r="H17" i="6"/>
  <c r="H16" i="6"/>
  <c r="C85" i="1"/>
  <c r="H42" i="1"/>
  <c r="I42" i="1" s="1"/>
  <c r="J42" i="1" s="1"/>
  <c r="K42" i="1" s="1"/>
  <c r="L42" i="1" s="1"/>
  <c r="M42" i="1" s="1"/>
  <c r="G29" i="6"/>
  <c r="H39" i="1"/>
  <c r="I39" i="1" s="1"/>
  <c r="J39" i="1" s="1"/>
  <c r="K39" i="1" s="1"/>
  <c r="L39" i="1" s="1"/>
  <c r="M39" i="1" s="1"/>
  <c r="D40" i="1"/>
  <c r="D36" i="1"/>
  <c r="D37" i="1" s="1"/>
  <c r="E40" i="1"/>
  <c r="D84" i="1"/>
  <c r="D98" i="1" s="1"/>
  <c r="D100" i="1" s="1"/>
  <c r="E36" i="1"/>
  <c r="E37" i="1" s="1"/>
  <c r="H29" i="6"/>
  <c r="E84" i="1"/>
  <c r="E98" i="1" s="1"/>
  <c r="E100" i="1" s="1"/>
  <c r="F43" i="1"/>
  <c r="F40" i="1"/>
  <c r="H120" i="1"/>
  <c r="H122" i="1" s="1"/>
  <c r="C178" i="1" s="1"/>
  <c r="I105" i="1"/>
  <c r="F84" i="1"/>
  <c r="F98" i="1" s="1"/>
  <c r="F100" i="1" s="1"/>
  <c r="L166" i="1"/>
  <c r="L110" i="1"/>
  <c r="L137" i="1"/>
  <c r="L169" i="1" s="1"/>
  <c r="M70" i="1"/>
  <c r="M146" i="1" s="1"/>
  <c r="M150" i="1" s="1"/>
  <c r="L146" i="1"/>
  <c r="L150" i="1" s="1"/>
  <c r="H35" i="1"/>
  <c r="I35" i="1" s="1"/>
  <c r="J35" i="1" s="1"/>
  <c r="K35" i="1" s="1"/>
  <c r="L35" i="1" s="1"/>
  <c r="M35" i="1" s="1"/>
  <c r="G14" i="6"/>
  <c r="H14" i="6"/>
  <c r="C37" i="1"/>
  <c r="C45" i="1"/>
  <c r="G98" i="1"/>
  <c r="G100" i="1" s="1"/>
  <c r="G36" i="1"/>
  <c r="G40" i="1"/>
  <c r="G43" i="1"/>
  <c r="F37" i="1"/>
  <c r="F45" i="1"/>
  <c r="F162" i="1" s="1"/>
  <c r="G85" i="1"/>
  <c r="C51" i="1" l="1"/>
  <c r="C52" i="1" s="1"/>
  <c r="C63" i="1"/>
  <c r="C67" i="1" s="1"/>
  <c r="D45" i="1"/>
  <c r="D162" i="1" s="1"/>
  <c r="D163" i="1" s="1"/>
  <c r="D164" i="1" s="1"/>
  <c r="F85" i="1"/>
  <c r="E45" i="1"/>
  <c r="E162" i="1" s="1"/>
  <c r="E163" i="1" s="1"/>
  <c r="E164" i="1" s="1"/>
  <c r="E85" i="1"/>
  <c r="D85" i="1"/>
  <c r="M110" i="1"/>
  <c r="M166" i="1"/>
  <c r="M137" i="1"/>
  <c r="M169" i="1" s="1"/>
  <c r="H82" i="1"/>
  <c r="H83" i="1"/>
  <c r="H33" i="1"/>
  <c r="H84" i="1" s="1"/>
  <c r="H98" i="1" s="1"/>
  <c r="H100" i="1" s="1"/>
  <c r="J105" i="1"/>
  <c r="I120" i="1"/>
  <c r="I122" i="1" s="1"/>
  <c r="C162" i="1"/>
  <c r="C163" i="1" s="1"/>
  <c r="C164" i="1" s="1"/>
  <c r="C46" i="1"/>
  <c r="F163" i="1"/>
  <c r="F164" i="1" s="1"/>
  <c r="F63" i="1"/>
  <c r="F67" i="1" s="1"/>
  <c r="F51" i="1"/>
  <c r="F52" i="1" s="1"/>
  <c r="F46" i="1"/>
  <c r="G45" i="1"/>
  <c r="G162" i="1" s="1"/>
  <c r="G163" i="1" s="1"/>
  <c r="G164" i="1" s="1"/>
  <c r="G37" i="1"/>
  <c r="I33" i="1"/>
  <c r="I84" i="1" s="1"/>
  <c r="E51" i="1" l="1"/>
  <c r="E52" i="1" s="1"/>
  <c r="G171" i="1"/>
  <c r="G173" i="1" s="1"/>
  <c r="D63" i="1"/>
  <c r="D67" i="1" s="1"/>
  <c r="D71" i="1" s="1"/>
  <c r="D51" i="1"/>
  <c r="D52" i="1" s="1"/>
  <c r="D46" i="1"/>
  <c r="E46" i="1"/>
  <c r="E63" i="1"/>
  <c r="E67" i="1" s="1"/>
  <c r="E134" i="1" s="1"/>
  <c r="E140" i="1" s="1"/>
  <c r="E152" i="1" s="1"/>
  <c r="H85" i="1"/>
  <c r="H36" i="1"/>
  <c r="H45" i="1" s="1"/>
  <c r="H162" i="1" s="1"/>
  <c r="H40" i="1"/>
  <c r="H43" i="1"/>
  <c r="K105" i="1"/>
  <c r="J120" i="1"/>
  <c r="J122" i="1" s="1"/>
  <c r="C73" i="1"/>
  <c r="C134" i="1"/>
  <c r="C140" i="1" s="1"/>
  <c r="C152" i="1" s="1"/>
  <c r="C71" i="1"/>
  <c r="C126" i="1"/>
  <c r="C68" i="1"/>
  <c r="I83" i="1"/>
  <c r="I82" i="1"/>
  <c r="I98" i="1"/>
  <c r="I100" i="1" s="1"/>
  <c r="G46" i="1"/>
  <c r="G63" i="1"/>
  <c r="G67" i="1" s="1"/>
  <c r="G126" i="1" s="1"/>
  <c r="G51" i="1"/>
  <c r="G52" i="1" s="1"/>
  <c r="F126" i="1"/>
  <c r="F134" i="1"/>
  <c r="F140" i="1" s="1"/>
  <c r="F152" i="1" s="1"/>
  <c r="F71" i="1"/>
  <c r="F73" i="1"/>
  <c r="F68" i="1"/>
  <c r="I40" i="1"/>
  <c r="I43" i="1"/>
  <c r="I36" i="1"/>
  <c r="J33" i="1"/>
  <c r="J84" i="1" s="1"/>
  <c r="C199" i="1"/>
  <c r="C196" i="1" s="1"/>
  <c r="C195" i="1"/>
  <c r="B46" i="1"/>
  <c r="B52" i="1"/>
  <c r="C189" i="1" l="1"/>
  <c r="E68" i="1"/>
  <c r="D134" i="1"/>
  <c r="D140" i="1" s="1"/>
  <c r="D152" i="1" s="1"/>
  <c r="D126" i="1"/>
  <c r="D68" i="1"/>
  <c r="D73" i="1"/>
  <c r="H37" i="1"/>
  <c r="E71" i="1"/>
  <c r="E73" i="1"/>
  <c r="E126" i="1"/>
  <c r="I85" i="1"/>
  <c r="J82" i="1"/>
  <c r="J83" i="1"/>
  <c r="L105" i="1"/>
  <c r="K120" i="1"/>
  <c r="K122" i="1" s="1"/>
  <c r="H163" i="1"/>
  <c r="H164" i="1" s="1"/>
  <c r="H171" i="1" s="1"/>
  <c r="L63" i="6" s="1"/>
  <c r="J98" i="1"/>
  <c r="J100" i="1" s="1"/>
  <c r="G134" i="1"/>
  <c r="G140" i="1" s="1"/>
  <c r="G152" i="1" s="1"/>
  <c r="G73" i="1"/>
  <c r="G71" i="1"/>
  <c r="G68" i="1"/>
  <c r="J40" i="1"/>
  <c r="J43" i="1"/>
  <c r="H46" i="1"/>
  <c r="H51" i="1"/>
  <c r="H52" i="1" s="1"/>
  <c r="H63" i="1"/>
  <c r="H65" i="1" s="1"/>
  <c r="H67" i="1" s="1"/>
  <c r="I37" i="1"/>
  <c r="I45" i="1"/>
  <c r="I162" i="1" s="1"/>
  <c r="K33" i="1"/>
  <c r="K84" i="1" s="1"/>
  <c r="J36" i="1"/>
  <c r="H173" i="1" l="1"/>
  <c r="H174" i="1" s="1"/>
  <c r="G174" i="1"/>
  <c r="V31" i="6"/>
  <c r="M33" i="1"/>
  <c r="M84" i="1" s="1"/>
  <c r="J85" i="1"/>
  <c r="M105" i="1"/>
  <c r="M120" i="1" s="1"/>
  <c r="M122" i="1" s="1"/>
  <c r="L120" i="1"/>
  <c r="L122" i="1" s="1"/>
  <c r="H134" i="1"/>
  <c r="H140" i="1" s="1"/>
  <c r="H152" i="1" s="1"/>
  <c r="H126" i="1"/>
  <c r="K83" i="1"/>
  <c r="K82" i="1"/>
  <c r="I163" i="1"/>
  <c r="I164" i="1" s="1"/>
  <c r="I171" i="1" s="1"/>
  <c r="K98" i="1"/>
  <c r="K100" i="1" s="1"/>
  <c r="H68" i="1"/>
  <c r="H71" i="1"/>
  <c r="H73" i="1"/>
  <c r="K40" i="1"/>
  <c r="K43" i="1"/>
  <c r="I46" i="1"/>
  <c r="I51" i="1"/>
  <c r="I52" i="1" s="1"/>
  <c r="I63" i="1"/>
  <c r="I65" i="1" s="1"/>
  <c r="I67" i="1" s="1"/>
  <c r="J37" i="1"/>
  <c r="J45" i="1"/>
  <c r="J162" i="1" s="1"/>
  <c r="K36" i="1"/>
  <c r="L33" i="1"/>
  <c r="L84" i="1" s="1"/>
  <c r="I173" i="1" l="1"/>
  <c r="I174" i="1" s="1"/>
  <c r="M63" i="6"/>
  <c r="K85" i="1"/>
  <c r="M36" i="1"/>
  <c r="M37" i="1" s="1"/>
  <c r="L83" i="1"/>
  <c r="L82" i="1"/>
  <c r="I134" i="1"/>
  <c r="I140" i="1" s="1"/>
  <c r="I152" i="1" s="1"/>
  <c r="I126" i="1"/>
  <c r="M98" i="1"/>
  <c r="M100" i="1" s="1"/>
  <c r="J163" i="1"/>
  <c r="J164" i="1" s="1"/>
  <c r="J171" i="1" s="1"/>
  <c r="L98" i="1"/>
  <c r="L100" i="1" s="1"/>
  <c r="I68" i="1"/>
  <c r="I73" i="1"/>
  <c r="I71" i="1"/>
  <c r="J46" i="1"/>
  <c r="J51" i="1"/>
  <c r="J52" i="1" s="1"/>
  <c r="J63" i="1"/>
  <c r="J65" i="1" s="1"/>
  <c r="J67" i="1" s="1"/>
  <c r="L40" i="1"/>
  <c r="L43" i="1"/>
  <c r="M40" i="1"/>
  <c r="M43" i="1"/>
  <c r="K37" i="1"/>
  <c r="K45" i="1"/>
  <c r="K162" i="1" s="1"/>
  <c r="L36" i="1"/>
  <c r="J173" i="1" l="1"/>
  <c r="J174" i="1" s="1"/>
  <c r="N63" i="6"/>
  <c r="L85" i="1"/>
  <c r="J134" i="1"/>
  <c r="J140" i="1" s="1"/>
  <c r="J152" i="1" s="1"/>
  <c r="J126" i="1"/>
  <c r="M83" i="1"/>
  <c r="M82" i="1"/>
  <c r="K163" i="1"/>
  <c r="K164" i="1" s="1"/>
  <c r="K171" i="1" s="1"/>
  <c r="J68" i="1"/>
  <c r="J73" i="1"/>
  <c r="J71" i="1"/>
  <c r="M45" i="1"/>
  <c r="M162" i="1" s="1"/>
  <c r="K46" i="1"/>
  <c r="K51" i="1"/>
  <c r="K52" i="1" s="1"/>
  <c r="K63" i="1"/>
  <c r="K65" i="1" s="1"/>
  <c r="K67" i="1" s="1"/>
  <c r="L37" i="1"/>
  <c r="L45" i="1"/>
  <c r="L162" i="1" s="1"/>
  <c r="K173" i="1" l="1"/>
  <c r="K174" i="1" s="1"/>
  <c r="O63" i="6"/>
  <c r="M85" i="1"/>
  <c r="K134" i="1"/>
  <c r="K140" i="1" s="1"/>
  <c r="K152" i="1" s="1"/>
  <c r="K126" i="1"/>
  <c r="M163" i="1"/>
  <c r="M164" i="1" s="1"/>
  <c r="M171" i="1" s="1"/>
  <c r="L163" i="1"/>
  <c r="L164" i="1" s="1"/>
  <c r="L171" i="1" s="1"/>
  <c r="K68" i="1"/>
  <c r="K71" i="1"/>
  <c r="K73" i="1"/>
  <c r="L46" i="1"/>
  <c r="L51" i="1"/>
  <c r="L52" i="1" s="1"/>
  <c r="L63" i="1"/>
  <c r="L65" i="1" s="1"/>
  <c r="L67" i="1" s="1"/>
  <c r="M46" i="1"/>
  <c r="M51" i="1"/>
  <c r="M52" i="1" s="1"/>
  <c r="M63" i="1"/>
  <c r="M65" i="1" s="1"/>
  <c r="M67" i="1" s="1"/>
  <c r="Q63" i="6" l="1"/>
  <c r="M172" i="1"/>
  <c r="M173" i="1" s="1"/>
  <c r="M174" i="1" s="1"/>
  <c r="Q181" i="6"/>
  <c r="V47" i="6" s="1"/>
  <c r="Q162" i="6"/>
  <c r="U42" i="6" s="1"/>
  <c r="Q170" i="6"/>
  <c r="U50" i="6" s="1"/>
  <c r="Q151" i="6"/>
  <c r="T45" i="6" s="1"/>
  <c r="Q159" i="6"/>
  <c r="T53" i="6" s="1"/>
  <c r="Q140" i="6"/>
  <c r="S48" i="6" s="1"/>
  <c r="Q121" i="6"/>
  <c r="R43" i="6" s="1"/>
  <c r="Q129" i="6"/>
  <c r="R51" i="6" s="1"/>
  <c r="Q109" i="6"/>
  <c r="Q45" i="6" s="1"/>
  <c r="Q105" i="6"/>
  <c r="Q41" i="6" s="1"/>
  <c r="Q99" i="6"/>
  <c r="P49" i="6" s="1"/>
  <c r="Q68" i="6"/>
  <c r="Q79" i="6"/>
  <c r="O43" i="6" s="1"/>
  <c r="Q87" i="6"/>
  <c r="O51" i="6" s="1"/>
  <c r="Q83" i="6"/>
  <c r="O47" i="6" s="1"/>
  <c r="Q178" i="6"/>
  <c r="V44" i="6" s="1"/>
  <c r="Q126" i="6"/>
  <c r="R48" i="6" s="1"/>
  <c r="Q187" i="6"/>
  <c r="V53" i="6" s="1"/>
  <c r="Q133" i="6"/>
  <c r="S41" i="6" s="1"/>
  <c r="Q66" i="6"/>
  <c r="Q120" i="6"/>
  <c r="R42" i="6" s="1"/>
  <c r="Q182" i="6"/>
  <c r="V48" i="6" s="1"/>
  <c r="Q163" i="6"/>
  <c r="U43" i="6" s="1"/>
  <c r="Q171" i="6"/>
  <c r="U51" i="6" s="1"/>
  <c r="Q152" i="6"/>
  <c r="T46" i="6" s="1"/>
  <c r="Q147" i="6"/>
  <c r="T41" i="6" s="1"/>
  <c r="Q141" i="6"/>
  <c r="S49" i="6" s="1"/>
  <c r="Q122" i="6"/>
  <c r="R44" i="6" s="1"/>
  <c r="Q130" i="6"/>
  <c r="R52" i="6" s="1"/>
  <c r="Q110" i="6"/>
  <c r="Q46" i="6" s="1"/>
  <c r="Q94" i="6"/>
  <c r="P44" i="6" s="1"/>
  <c r="Q100" i="6"/>
  <c r="P50" i="6" s="1"/>
  <c r="Q69" i="6"/>
  <c r="Q80" i="6"/>
  <c r="O44" i="6" s="1"/>
  <c r="Q88" i="6"/>
  <c r="O52" i="6" s="1"/>
  <c r="Q72" i="6"/>
  <c r="Q167" i="6"/>
  <c r="U47" i="6" s="1"/>
  <c r="Q114" i="6"/>
  <c r="Q50" i="6" s="1"/>
  <c r="Q107" i="6"/>
  <c r="Q43" i="6" s="1"/>
  <c r="Q150" i="6"/>
  <c r="T44" i="6" s="1"/>
  <c r="Q98" i="6"/>
  <c r="P48" i="6" s="1"/>
  <c r="Q183" i="6"/>
  <c r="V49" i="6" s="1"/>
  <c r="Q164" i="6"/>
  <c r="U44" i="6" s="1"/>
  <c r="Q172" i="6"/>
  <c r="U52" i="6" s="1"/>
  <c r="Q153" i="6"/>
  <c r="T47" i="6" s="1"/>
  <c r="Q134" i="6"/>
  <c r="S42" i="6" s="1"/>
  <c r="Q142" i="6"/>
  <c r="S50" i="6" s="1"/>
  <c r="Q123" i="6"/>
  <c r="R45" i="6" s="1"/>
  <c r="Q131" i="6"/>
  <c r="R53" i="6" s="1"/>
  <c r="Q111" i="6"/>
  <c r="Q47" i="6" s="1"/>
  <c r="Q93" i="6"/>
  <c r="P43" i="6" s="1"/>
  <c r="Q101" i="6"/>
  <c r="P51" i="6" s="1"/>
  <c r="Q70" i="6"/>
  <c r="Q81" i="6"/>
  <c r="O45" i="6" s="1"/>
  <c r="Q89" i="6"/>
  <c r="O53" i="6" s="1"/>
  <c r="Q64" i="6"/>
  <c r="Q186" i="6"/>
  <c r="V52" i="6" s="1"/>
  <c r="Q106" i="6"/>
  <c r="Q42" i="6" s="1"/>
  <c r="Q84" i="6"/>
  <c r="O48" i="6" s="1"/>
  <c r="Q157" i="6"/>
  <c r="T51" i="6" s="1"/>
  <c r="Q97" i="6"/>
  <c r="P47" i="6" s="1"/>
  <c r="Q169" i="6"/>
  <c r="U49" i="6" s="1"/>
  <c r="Q108" i="6"/>
  <c r="Q44" i="6" s="1"/>
  <c r="Q78" i="6"/>
  <c r="O42" i="6" s="1"/>
  <c r="Q176" i="6"/>
  <c r="V42" i="6" s="1"/>
  <c r="Q184" i="6"/>
  <c r="V50" i="6" s="1"/>
  <c r="Q165" i="6"/>
  <c r="U45" i="6" s="1"/>
  <c r="Q173" i="6"/>
  <c r="U53" i="6" s="1"/>
  <c r="Q154" i="6"/>
  <c r="T48" i="6" s="1"/>
  <c r="Q135" i="6"/>
  <c r="S43" i="6" s="1"/>
  <c r="Q143" i="6"/>
  <c r="S51" i="6" s="1"/>
  <c r="Q124" i="6"/>
  <c r="R46" i="6" s="1"/>
  <c r="Q119" i="6"/>
  <c r="R41" i="6" s="1"/>
  <c r="Q112" i="6"/>
  <c r="Q48" i="6" s="1"/>
  <c r="Q92" i="6"/>
  <c r="P42" i="6" s="1"/>
  <c r="Q102" i="6"/>
  <c r="P52" i="6" s="1"/>
  <c r="Q75" i="6"/>
  <c r="Q71" i="6"/>
  <c r="Q82" i="6"/>
  <c r="O46" i="6" s="1"/>
  <c r="Q103" i="6"/>
  <c r="P53" i="6" s="1"/>
  <c r="Q148" i="6"/>
  <c r="T42" i="6" s="1"/>
  <c r="Q137" i="6"/>
  <c r="S45" i="6" s="1"/>
  <c r="Q96" i="6"/>
  <c r="P46" i="6" s="1"/>
  <c r="Q65" i="6"/>
  <c r="Q149" i="6"/>
  <c r="T43" i="6" s="1"/>
  <c r="Q127" i="6"/>
  <c r="R49" i="6" s="1"/>
  <c r="Q77" i="6"/>
  <c r="O41" i="6" s="1"/>
  <c r="Q74" i="6"/>
  <c r="Q158" i="6"/>
  <c r="T52" i="6" s="1"/>
  <c r="Q128" i="6"/>
  <c r="R50" i="6" s="1"/>
  <c r="Q177" i="6"/>
  <c r="V43" i="6" s="1"/>
  <c r="Q185" i="6"/>
  <c r="V51" i="6" s="1"/>
  <c r="Q166" i="6"/>
  <c r="U46" i="6" s="1"/>
  <c r="Q161" i="6"/>
  <c r="U41" i="6" s="1"/>
  <c r="Q155" i="6"/>
  <c r="T49" i="6" s="1"/>
  <c r="Q136" i="6"/>
  <c r="S44" i="6" s="1"/>
  <c r="Q144" i="6"/>
  <c r="S52" i="6" s="1"/>
  <c r="Q125" i="6"/>
  <c r="R47" i="6" s="1"/>
  <c r="Q117" i="6"/>
  <c r="Q53" i="6" s="1"/>
  <c r="Q113" i="6"/>
  <c r="Q49" i="6" s="1"/>
  <c r="Q95" i="6"/>
  <c r="P45" i="6" s="1"/>
  <c r="Q156" i="6"/>
  <c r="T50" i="6" s="1"/>
  <c r="Q145" i="6"/>
  <c r="S53" i="6" s="1"/>
  <c r="Q91" i="6"/>
  <c r="P41" i="6" s="1"/>
  <c r="Q73" i="6"/>
  <c r="Q179" i="6"/>
  <c r="V45" i="6" s="1"/>
  <c r="Q168" i="6"/>
  <c r="U48" i="6" s="1"/>
  <c r="Q138" i="6"/>
  <c r="S46" i="6" s="1"/>
  <c r="Q115" i="6"/>
  <c r="Q51" i="6" s="1"/>
  <c r="Q85" i="6"/>
  <c r="O49" i="6" s="1"/>
  <c r="Q180" i="6"/>
  <c r="V46" i="6" s="1"/>
  <c r="Q175" i="6"/>
  <c r="V41" i="6" s="1"/>
  <c r="Q139" i="6"/>
  <c r="S47" i="6" s="1"/>
  <c r="Q116" i="6"/>
  <c r="Q52" i="6" s="1"/>
  <c r="Q67" i="6"/>
  <c r="Q86" i="6"/>
  <c r="O50" i="6" s="1"/>
  <c r="L173" i="1"/>
  <c r="L174" i="1" s="1"/>
  <c r="P63" i="6"/>
  <c r="M134" i="1"/>
  <c r="M140" i="1" s="1"/>
  <c r="M152" i="1" s="1"/>
  <c r="M126" i="1"/>
  <c r="L134" i="1"/>
  <c r="L140" i="1" s="1"/>
  <c r="L152" i="1" s="1"/>
  <c r="L126" i="1"/>
  <c r="L68" i="1"/>
  <c r="L71" i="1"/>
  <c r="L73" i="1"/>
  <c r="M68" i="1"/>
  <c r="M71" i="1"/>
  <c r="M73" i="1"/>
  <c r="N41" i="6" l="1"/>
  <c r="N44" i="6"/>
  <c r="N47" i="6"/>
  <c r="N49" i="6"/>
  <c r="N52" i="6"/>
  <c r="N53" i="6"/>
  <c r="N51" i="6"/>
  <c r="N48" i="6"/>
  <c r="N43" i="6"/>
  <c r="N46" i="6"/>
  <c r="N45" i="6"/>
  <c r="N50" i="6"/>
  <c r="N42" i="6"/>
  <c r="C176" i="1" l="1"/>
  <c r="Y13" i="6" s="1"/>
  <c r="T3" i="6" l="1"/>
  <c r="C179" i="1"/>
  <c r="C184" i="1"/>
  <c r="C180" i="1" s="1"/>
  <c r="T5" i="6" l="1"/>
  <c r="T13" i="6"/>
  <c r="Y5" i="6" s="1" a="1"/>
  <c r="Y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tc={C4F656F5-5A79-4C31-85A5-C17E88D01559}</author>
    <author>tc={39D86803-AFDE-4D40-A7B6-698CA5E161F8}</author>
    <author>tc={29C61E57-BB19-4992-ABC4-D7B7E3A1C105}</author>
    <author>tc={C19FAD78-4BCC-454A-B48F-A7E95E10E7EE}</author>
    <author>tc={F545C705-780A-4C9D-8EC6-DE80B1BA59DB}</author>
  </authors>
  <commentList>
    <comment ref="B85" authorId="0" shapeId="0" xr:uid="{C4F656F5-5A79-4C31-85A5-C17E88D0155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https://cienciaenegocios.com/o-que-e-ciclo-operacional-e-ciclo-de-caixa/</t>
      </text>
    </comment>
    <comment ref="B96" authorId="1" shapeId="0" xr:uid="{39D86803-AFDE-4D40-A7B6-698CA5E161F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https://acsp.com.br/publicacao/s/antecipacao-de-recebiveis-como-funciona-essa-modalidade-de-credito</t>
      </text>
    </comment>
    <comment ref="B116" authorId="2" shapeId="0" xr:uid="{29C61E57-BB19-4992-ABC4-D7B7E3A1C10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Do PC: Empréstimos +Derivativos +  Financiamentos + Fornecedores + Debêntures + Parcelamentos tributários + Arrendamentos</t>
      </text>
    </comment>
    <comment ref="B118" authorId="3" shapeId="0" xr:uid="{C19FAD78-4BCC-454A-B48F-A7E95E10E7E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Do PNC: Empréstimos + Derivativos + Financiamentos +Fornecedores + Debêntures + Parcelamentos tributários + Arrendamentos</t>
      </text>
    </comment>
    <comment ref="C187" authorId="4" shapeId="0" xr:uid="{F545C705-780A-4C9D-8EC6-DE80B1BA59D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Premissado.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<sst xmlns="http://schemas.openxmlformats.org/spreadsheetml/2006/main" count="332" uniqueCount="258">
  <si>
    <t>DRE</t>
  </si>
  <si>
    <t>x</t>
  </si>
  <si>
    <t>Receita Bruta</t>
  </si>
  <si>
    <t>Impostos sobre a venda</t>
  </si>
  <si>
    <t>Receita Líquida</t>
  </si>
  <si>
    <t>CMV</t>
  </si>
  <si>
    <t>Lucro Bruto</t>
  </si>
  <si>
    <t>Margem bruta (% RL)</t>
  </si>
  <si>
    <t>EBITDA</t>
  </si>
  <si>
    <t>Depreciação e Amortização</t>
  </si>
  <si>
    <t>EBIT</t>
  </si>
  <si>
    <t>Resultado Financeiro</t>
  </si>
  <si>
    <t>Receita Financeira</t>
  </si>
  <si>
    <t>Despesa Financeira</t>
  </si>
  <si>
    <t>IR/CSLL</t>
  </si>
  <si>
    <t>Lucro Líquido</t>
  </si>
  <si>
    <t>Margem Líquida (% RL)</t>
  </si>
  <si>
    <t>Dividendos</t>
  </si>
  <si>
    <t>Dividendos (% LL)</t>
  </si>
  <si>
    <t>Lucro líquido reinvestido na operação</t>
  </si>
  <si>
    <t>Auxiliares</t>
  </si>
  <si>
    <t>Auxiliar dias no ano</t>
  </si>
  <si>
    <t>Fator de Redução de Estoque</t>
  </si>
  <si>
    <t>Estoque</t>
  </si>
  <si>
    <t>Fornecedores</t>
  </si>
  <si>
    <t>Contas a Receber</t>
  </si>
  <si>
    <t>Capital de Giro Operacional (NWC)</t>
  </si>
  <si>
    <t>Inv. Capital de Giro (NWC)</t>
  </si>
  <si>
    <t>Antecipação de recebíveis</t>
  </si>
  <si>
    <t>Dias de Recebíveis Comerciais</t>
  </si>
  <si>
    <t>Contas a Receber Comerciais</t>
  </si>
  <si>
    <t>Valor antecipado</t>
  </si>
  <si>
    <t>BP</t>
  </si>
  <si>
    <t>Caixa</t>
  </si>
  <si>
    <t>Imobilizado</t>
  </si>
  <si>
    <t>Depreciação Acumulada</t>
  </si>
  <si>
    <t>Ativos Totais</t>
  </si>
  <si>
    <t>Dívida de Curto Prazo (rotativa)</t>
  </si>
  <si>
    <t>Dívida de Longo Prazo</t>
  </si>
  <si>
    <t>Capital Social</t>
  </si>
  <si>
    <t>Lucros / Prejuízos Acumulados</t>
  </si>
  <si>
    <t>Passivo + PL Total</t>
  </si>
  <si>
    <t>check</t>
  </si>
  <si>
    <t>Fluxo de caixa</t>
  </si>
  <si>
    <t>Lucro líquido</t>
  </si>
  <si>
    <t>Ajustes:</t>
  </si>
  <si>
    <t>Depreciação e amortização</t>
  </si>
  <si>
    <t>Fluxo de caixa das atividades operacionais</t>
  </si>
  <si>
    <t>Investimento em Imobilizado (CAPEX)</t>
  </si>
  <si>
    <t>Fluxo de caixa das atividades de investimento</t>
  </si>
  <si>
    <t>Variação do Capital Social</t>
  </si>
  <si>
    <t>Variação de Dívida de Longo Prazo</t>
  </si>
  <si>
    <t>Fluxo de caixa das atividades de financiamento</t>
  </si>
  <si>
    <t>Geração / necessidade de caixa projetada</t>
  </si>
  <si>
    <t>Valuation</t>
  </si>
  <si>
    <t>Period</t>
  </si>
  <si>
    <t>(-) Taxes</t>
  </si>
  <si>
    <t>NOPAT</t>
  </si>
  <si>
    <t>(+) Depreciação e Amortização</t>
  </si>
  <si>
    <t>(-) Inv. Capital de Giro (NWC)</t>
  </si>
  <si>
    <t>(-) CAPEX</t>
  </si>
  <si>
    <t>Free cash flow to firm (FCFF)</t>
  </si>
  <si>
    <t>Perpetuity</t>
  </si>
  <si>
    <t>Free cash flow to firm (FCFF) + Perpetuity</t>
  </si>
  <si>
    <t>Discounted FCFF + Perpetuity</t>
  </si>
  <si>
    <t>(+) Caixa</t>
  </si>
  <si>
    <t># ações (mil)</t>
  </si>
  <si>
    <t>Premissas</t>
  </si>
  <si>
    <t>Despesas com Vendas</t>
  </si>
  <si>
    <t>Despesas com Vendas (% RL)</t>
  </si>
  <si>
    <t>Despesas gerais e administrativas</t>
  </si>
  <si>
    <t>Despesas gerais e administrativas (% RL)</t>
  </si>
  <si>
    <t>WACC</t>
  </si>
  <si>
    <t>rf</t>
  </si>
  <si>
    <t>E(rS)</t>
  </si>
  <si>
    <t>t</t>
  </si>
  <si>
    <t>rB*(1-t)</t>
  </si>
  <si>
    <t>Custo da dívida (rB)</t>
  </si>
  <si>
    <t>beta</t>
  </si>
  <si>
    <t>Prêmio de risco de mercado (E(Rm))</t>
  </si>
  <si>
    <t>Retorno esperado de mercado (E(rm))</t>
  </si>
  <si>
    <t>B/S</t>
  </si>
  <si>
    <t>https://www.gurufocus.com/term/wacc/BSP:SBFG3/WACC-Percentage/Grupo%20SBF</t>
  </si>
  <si>
    <t>Market Cap. = Market value of equity (S)</t>
  </si>
  <si>
    <t>Book value of debt (B)</t>
  </si>
  <si>
    <t>-</t>
  </si>
  <si>
    <t>Receita operacional bruta</t>
  </si>
  <si>
    <t>Receita Bruta Centauro</t>
  </si>
  <si>
    <t>Receita Bruta Fisia</t>
  </si>
  <si>
    <t>(-) Eliminação intercompany</t>
  </si>
  <si>
    <t>Receita operacional líquida</t>
  </si>
  <si>
    <t>Receita Líquida Centauro</t>
  </si>
  <si>
    <t>Receita Líquida Fisia</t>
  </si>
  <si>
    <t>Custo dos produtos vendidos</t>
  </si>
  <si>
    <t>Lucro bruto</t>
  </si>
  <si>
    <t>Despesas operacionais:¹</t>
  </si>
  <si>
    <t>Despesas Administrativas e gerais</t>
  </si>
  <si>
    <t>Outras receitas operacionais, líquidas</t>
  </si>
  <si>
    <t>Depreciação</t>
  </si>
  <si>
    <t>Lucro antes do resultado financeiro</t>
  </si>
  <si>
    <t>Lucro antes do IR e CS</t>
  </si>
  <si>
    <t>Imposto de renda e contribuição social</t>
  </si>
  <si>
    <t>Lucro (Prejuízo) líquido do exercício</t>
  </si>
  <si>
    <t>(1) Despesas Operacionais incluindo Depreciação.</t>
  </si>
  <si>
    <t>Reconciliação:</t>
  </si>
  <si>
    <t xml:space="preserve">EBITDA </t>
  </si>
  <si>
    <t>PIS/Cofins</t>
  </si>
  <si>
    <t xml:space="preserve">Outros efeitos não-recorrentes </t>
  </si>
  <si>
    <t>EBITDA Ajustado</t>
  </si>
  <si>
    <t>EBITDA Ajustado (ex-IFRS16)</t>
  </si>
  <si>
    <t>Lucro (Prejuízo) Líquido Ajustado</t>
  </si>
  <si>
    <t>Lucro (Prejuízo) Líquido Ajustado (ex-IFRS16)</t>
  </si>
  <si>
    <t>Ativo
(R$ mil)</t>
  </si>
  <si>
    <t>2020 
(Retificado)</t>
  </si>
  <si>
    <t>Ativo circulante</t>
  </si>
  <si>
    <t>Caixa e equivalentes de caixa</t>
  </si>
  <si>
    <t>Contas a receber</t>
  </si>
  <si>
    <t>Estoques</t>
  </si>
  <si>
    <t>Tributos a recuperar</t>
  </si>
  <si>
    <t>Despesas antecipadas</t>
  </si>
  <si>
    <t>Ativo não circulante</t>
  </si>
  <si>
    <t>Realizável a longo Prazo</t>
  </si>
  <si>
    <t>Aplicações financeiras</t>
  </si>
  <si>
    <t>Tributos diferidos</t>
  </si>
  <si>
    <t>Outros créditos</t>
  </si>
  <si>
    <t>Investimentos</t>
  </si>
  <si>
    <t>Intangível</t>
  </si>
  <si>
    <t>Total do ativo</t>
  </si>
  <si>
    <t>Passivo
(R$ mil)</t>
  </si>
  <si>
    <t>Passivo circulante</t>
  </si>
  <si>
    <t>Empréstimos e financiamentos</t>
  </si>
  <si>
    <t>Debêntures</t>
  </si>
  <si>
    <t>Derivativos</t>
  </si>
  <si>
    <t>Dividendos a pagar</t>
  </si>
  <si>
    <t>Arrendamento</t>
  </si>
  <si>
    <t>Outras obrigações</t>
  </si>
  <si>
    <t>Parcelamento de Tributos</t>
  </si>
  <si>
    <t>Obrigações tributárias</t>
  </si>
  <si>
    <t>Imposto de renda e contribuição social a recolher</t>
  </si>
  <si>
    <t>Passivo não circulante</t>
  </si>
  <si>
    <t>Partes relacionadas</t>
  </si>
  <si>
    <t>Adiantamento para futuro aumento de capital</t>
  </si>
  <si>
    <t>Passivo fiscal diferido</t>
  </si>
  <si>
    <t>Parcelamento de tributos</t>
  </si>
  <si>
    <t>Provisões</t>
  </si>
  <si>
    <t>Patrimônio líquido</t>
  </si>
  <si>
    <t>Capital social</t>
  </si>
  <si>
    <t>Reserva de capital</t>
  </si>
  <si>
    <t>Reserva de incentivo</t>
  </si>
  <si>
    <t>Lucros/Prejuízos acumulados</t>
  </si>
  <si>
    <t>Ajustes de avaliação patrimonial</t>
  </si>
  <si>
    <t>Total do passivo e patrimônio líquido</t>
  </si>
  <si>
    <t>Número de lojas</t>
  </si>
  <si>
    <t>Área Total (m²)</t>
  </si>
  <si>
    <t>Área Centauro Modelo Tradicional (m²)</t>
  </si>
  <si>
    <t>Área Centauro G5 (m²)</t>
  </si>
  <si>
    <t>Área Nike (m²)</t>
  </si>
  <si>
    <t>Total de Lojas</t>
  </si>
  <si>
    <t>Centauro Total</t>
  </si>
  <si>
    <t>Centauro Modelo Tradicional</t>
  </si>
  <si>
    <t>Centauro G5</t>
  </si>
  <si>
    <t>Centauro G5 Inaugurada Total</t>
  </si>
  <si>
    <t>Centauro G5 Reformada Total</t>
  </si>
  <si>
    <t>Centauro G5 Reformas no tri</t>
  </si>
  <si>
    <t>Centauro G5 Inaugurações no tri</t>
  </si>
  <si>
    <t>Nike (Fisia)</t>
  </si>
  <si>
    <t>Nike (Fisia) Inaugurações no tri</t>
  </si>
  <si>
    <t>ByTennis</t>
  </si>
  <si>
    <t>INFLAÇÃO</t>
  </si>
  <si>
    <t>CDI</t>
  </si>
  <si>
    <t>SELIC</t>
  </si>
  <si>
    <t>Lucro antes do imposto de renda (LAIR)</t>
  </si>
  <si>
    <t>PIS/COFINS</t>
  </si>
  <si>
    <t>Dívida Bruta</t>
  </si>
  <si>
    <t>Títulos e valores mobiliários</t>
  </si>
  <si>
    <t>Dívida Líquida</t>
  </si>
  <si>
    <t>PL</t>
  </si>
  <si>
    <t>ESTRUTURA DE CAPITAL</t>
  </si>
  <si>
    <t>PASSIVO CIRCULANTE</t>
  </si>
  <si>
    <t>Empréstimos, financiamentos e encargos de dívidas</t>
  </si>
  <si>
    <t>PASSIVO NÃO CIRCULANTE</t>
  </si>
  <si>
    <t xml:space="preserve">Patrimônio Líquido </t>
  </si>
  <si>
    <t>TOTAL CREDORES (B)</t>
  </si>
  <si>
    <t>TOTAL ACIONISTAS (S)</t>
  </si>
  <si>
    <t>Acionistas (S/(B+S))</t>
  </si>
  <si>
    <t>Credor (B/(B+S))</t>
  </si>
  <si>
    <t>Ciclo de Conversão de Caixa (CCC)</t>
  </si>
  <si>
    <t>Dias de Estoque (PME)</t>
  </si>
  <si>
    <t>Dias de Fornecedores (PMP)</t>
  </si>
  <si>
    <t>Dias de Recebíveis (PMR)</t>
  </si>
  <si>
    <t>Dívida LP</t>
  </si>
  <si>
    <t>MACRO</t>
  </si>
  <si>
    <t>Preço Atual</t>
  </si>
  <si>
    <t>CAPEX 
(R$ mil)</t>
  </si>
  <si>
    <t>Novas lojas</t>
  </si>
  <si>
    <t>Reforma de lojas</t>
  </si>
  <si>
    <t>Tecnologia</t>
  </si>
  <si>
    <t>Logistics</t>
  </si>
  <si>
    <t>Outros</t>
  </si>
  <si>
    <t>Total</t>
  </si>
  <si>
    <t>NWC</t>
  </si>
  <si>
    <t>Média</t>
  </si>
  <si>
    <t>Mediana</t>
  </si>
  <si>
    <t>Taxas para projeção</t>
  </si>
  <si>
    <t>Impostos sobre vendas</t>
  </si>
  <si>
    <t>Depesas Gerais e Admin.</t>
  </si>
  <si>
    <t>Despesas Financeiras</t>
  </si>
  <si>
    <t>Receitas Financeira</t>
  </si>
  <si>
    <t>PREMISSAS</t>
  </si>
  <si>
    <t>AUXILIARES</t>
  </si>
  <si>
    <t>BALANÇO</t>
  </si>
  <si>
    <t>ATIVO</t>
  </si>
  <si>
    <t>PASSIVO</t>
  </si>
  <si>
    <t>PATRIMÔNIO LÍQUIDO</t>
  </si>
  <si>
    <t>Dívida de CP</t>
  </si>
  <si>
    <t>Dívida de LP</t>
  </si>
  <si>
    <t>Total PL</t>
  </si>
  <si>
    <t>IPO</t>
  </si>
  <si>
    <t>Passivos Total</t>
  </si>
  <si>
    <t>Firm Value</t>
  </si>
  <si>
    <t>Maneira Curiosa:</t>
  </si>
  <si>
    <t>Equity Value</t>
  </si>
  <si>
    <t>(-) Dívida Líquida</t>
  </si>
  <si>
    <t>g (taxa de crescimento da perpetuidade)</t>
  </si>
  <si>
    <t>Preço target por ação (FV/ações em circ.)</t>
  </si>
  <si>
    <t>PROJEÇÃO DA RECEITA</t>
  </si>
  <si>
    <t xml:space="preserve"> </t>
  </si>
  <si>
    <t>Upside/Downside</t>
  </si>
  <si>
    <t>Os 35,6% indicam o quanto a receita digital representou em média no histórico da empresa</t>
  </si>
  <si>
    <t>Controle</t>
  </si>
  <si>
    <t>E(volume vendido(%)) Centauro Modelo Trad.</t>
  </si>
  <si>
    <t>E(volume vendido(%))Centauro G5</t>
  </si>
  <si>
    <t>E(volume vendido(%)) Nike</t>
  </si>
  <si>
    <t>FIRM VALUE</t>
  </si>
  <si>
    <t>UPSIDE</t>
  </si>
  <si>
    <t>TARGET</t>
  </si>
  <si>
    <t>Para visualizar, clique na caixa "2" à esquerda.</t>
  </si>
  <si>
    <t>Renner</t>
  </si>
  <si>
    <t>Riachuelo</t>
  </si>
  <si>
    <t>Marisa Lojas</t>
  </si>
  <si>
    <t>Centauro</t>
  </si>
  <si>
    <t>Market cap.</t>
  </si>
  <si>
    <t>Lojas Centauro</t>
  </si>
  <si>
    <t>Lojas Fisia</t>
  </si>
  <si>
    <t>RECOMENDAÇÃO</t>
  </si>
  <si>
    <t>B+S</t>
  </si>
  <si>
    <t>Credores (B/(B+S))</t>
  </si>
  <si>
    <t>g</t>
  </si>
  <si>
    <t>TV4%</t>
  </si>
  <si>
    <t>TV6%</t>
  </si>
  <si>
    <t>TV8%</t>
  </si>
  <si>
    <t>TV10%</t>
  </si>
  <si>
    <t>TV12%</t>
  </si>
  <si>
    <t>TV14%</t>
  </si>
  <si>
    <t>TV16%</t>
  </si>
  <si>
    <t>TV18%</t>
  </si>
  <si>
    <t>TV20%</t>
  </si>
  <si>
    <t>%Perp.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</si>
</sst>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R$&quot;\ #,##0;[Red]\-&quot;R$&quot;\ #,##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_);_(* \(#,##0\);_(* &quot;-&quot;??_);_(@_)"/>
    <numFmt numFmtId="165" formatCode="_([$€]\ * #,##0.00_);_([$€]\ * \(#,##0.00\);_([$€]\ * &quot;-&quot;??_);_(@_)"/>
    <numFmt numFmtId="166" formatCode="_-[$R$-416]\ * #,##0.00_-;\-[$R$-416]\ * #,##0.00_-;_-[$R$-416]\ * &quot;-&quot;??_-;_-@_-"/>
    <numFmt numFmtId="167" formatCode="_-* #,##0_-;\-* #,##0_-;_-* &quot;-&quot;??_-;_-@_-"/>
    <numFmt numFmtId="168" formatCode="&quot;R$&quot;\ #,##0.00"/>
    <numFmt numFmtId="169" formatCode="&quot;R$&quot;\ #,##0"/>
    <numFmt numFmtId="170" formatCode="0.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Roboto Light"/>
    </font>
    <font>
      <sz val="11"/>
      <color theme="1"/>
      <name val="Calibri"/>
      <family val="2"/>
    </font>
    <font>
      <i/>
      <sz val="8"/>
      <color theme="1"/>
      <name val="Arial"/>
      <family val="2"/>
    </font>
    <font>
      <b/>
      <sz val="8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90C747"/>
        <bgColor rgb="FFC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44" fontId="4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278">
    <xf numFmtId="0" fontId="0" fillId="0" borderId="0" xfId="0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164" fontId="3" fillId="2" borderId="0" xfId="0" applyNumberFormat="1" applyFont="1" applyFill="1" applyAlignment="1">
      <alignment vertical="center"/>
    </xf>
    <xf numFmtId="0" fontId="3" fillId="2" borderId="11" xfId="0" applyFont="1" applyFill="1" applyBorder="1" applyAlignment="1">
      <alignment horizontal="left"/>
    </xf>
    <xf numFmtId="164" fontId="3" fillId="2" borderId="12" xfId="0" applyNumberFormat="1" applyFont="1" applyFill="1" applyBorder="1" applyAlignment="1">
      <alignment vertical="center"/>
    </xf>
    <xf numFmtId="0" fontId="3" fillId="2" borderId="6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vertical="center"/>
    </xf>
    <xf numFmtId="164" fontId="3" fillId="2" borderId="13" xfId="0" applyNumberFormat="1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/>
    </xf>
    <xf numFmtId="164" fontId="0" fillId="0" borderId="0" xfId="0" applyNumberFormat="1"/>
    <xf numFmtId="10" fontId="0" fillId="0" borderId="0" xfId="0" applyNumberFormat="1"/>
    <xf numFmtId="0" fontId="10" fillId="0" borderId="0" xfId="0" applyFont="1"/>
    <xf numFmtId="164" fontId="10" fillId="0" borderId="0" xfId="0" applyNumberFormat="1" applyFont="1" applyAlignment="1">
      <alignment vertical="center"/>
    </xf>
    <xf numFmtId="0" fontId="11" fillId="7" borderId="1" xfId="0" applyFont="1" applyFill="1" applyBorder="1"/>
    <xf numFmtId="3" fontId="2" fillId="7" borderId="1" xfId="0" applyNumberFormat="1" applyFont="1" applyFill="1" applyBorder="1"/>
    <xf numFmtId="3" fontId="15" fillId="7" borderId="1" xfId="0" applyNumberFormat="1" applyFont="1" applyFill="1" applyBorder="1"/>
    <xf numFmtId="0" fontId="0" fillId="0" borderId="0" xfId="0" applyAlignment="1">
      <alignment wrapText="1"/>
    </xf>
    <xf numFmtId="14" fontId="2" fillId="3" borderId="22" xfId="2" applyNumberFormat="1" applyBorder="1" applyAlignment="1">
      <alignment horizontal="center" vertical="center" wrapText="1"/>
    </xf>
    <xf numFmtId="0" fontId="2" fillId="3" borderId="19" xfId="2" applyBorder="1" applyAlignment="1">
      <alignment horizontal="center" vertical="center"/>
    </xf>
    <xf numFmtId="0" fontId="2" fillId="3" borderId="21" xfId="2" applyBorder="1" applyAlignment="1">
      <alignment horizontal="center" vertical="center"/>
    </xf>
    <xf numFmtId="9" fontId="0" fillId="0" borderId="0" xfId="0" applyNumberFormat="1"/>
    <xf numFmtId="0" fontId="0" fillId="9" borderId="19" xfId="0" applyFill="1" applyBorder="1"/>
    <xf numFmtId="0" fontId="0" fillId="9" borderId="21" xfId="0" applyFill="1" applyBorder="1"/>
    <xf numFmtId="0" fontId="0" fillId="9" borderId="0" xfId="0" applyFill="1" applyAlignment="1">
      <alignment wrapText="1"/>
    </xf>
    <xf numFmtId="0" fontId="0" fillId="9" borderId="7" xfId="0" applyFill="1" applyBorder="1"/>
    <xf numFmtId="0" fontId="0" fillId="9" borderId="0" xfId="0" applyFill="1"/>
    <xf numFmtId="0" fontId="0" fillId="9" borderId="8" xfId="0" applyFill="1" applyBorder="1"/>
    <xf numFmtId="0" fontId="12" fillId="9" borderId="0" xfId="0" applyFont="1" applyFill="1" applyAlignment="1">
      <alignment horizontal="left"/>
    </xf>
    <xf numFmtId="0" fontId="10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20" xfId="0" applyFill="1" applyBorder="1"/>
    <xf numFmtId="9" fontId="0" fillId="9" borderId="0" xfId="0" applyNumberFormat="1" applyFill="1"/>
    <xf numFmtId="10" fontId="0" fillId="9" borderId="0" xfId="0" applyNumberFormat="1" applyFill="1"/>
    <xf numFmtId="0" fontId="12" fillId="6" borderId="30" xfId="0" applyFont="1" applyFill="1" applyBorder="1" applyAlignment="1">
      <alignment horizontal="center"/>
    </xf>
    <xf numFmtId="0" fontId="11" fillId="3" borderId="16" xfId="2" applyFont="1" applyBorder="1"/>
    <xf numFmtId="0" fontId="11" fillId="3" borderId="17" xfId="2" applyFont="1" applyBorder="1"/>
    <xf numFmtId="0" fontId="11" fillId="3" borderId="18" xfId="2" applyFont="1" applyBorder="1"/>
    <xf numFmtId="0" fontId="1" fillId="6" borderId="30" xfId="0" applyFont="1" applyFill="1" applyBorder="1" applyAlignment="1">
      <alignment horizontal="center"/>
    </xf>
    <xf numFmtId="0" fontId="17" fillId="8" borderId="20" xfId="0" applyFont="1" applyFill="1" applyBorder="1" applyAlignment="1">
      <alignment horizontal="center" wrapText="1"/>
    </xf>
    <xf numFmtId="0" fontId="17" fillId="8" borderId="19" xfId="0" applyFont="1" applyFill="1" applyBorder="1" applyAlignment="1">
      <alignment horizontal="center" wrapText="1"/>
    </xf>
    <xf numFmtId="170" fontId="17" fillId="8" borderId="19" xfId="1" applyNumberFormat="1" applyFont="1" applyFill="1" applyBorder="1" applyAlignment="1">
      <alignment horizontal="center" wrapText="1"/>
    </xf>
    <xf numFmtId="170" fontId="1" fillId="0" borderId="0" xfId="1" applyNumberFormat="1" applyFont="1" applyBorder="1" applyAlignment="1">
      <alignment horizontal="center"/>
    </xf>
    <xf numFmtId="170" fontId="1" fillId="0" borderId="0" xfId="1" applyNumberFormat="1" applyFont="1" applyAlignment="1">
      <alignment horizontal="center"/>
    </xf>
    <xf numFmtId="0" fontId="12" fillId="9" borderId="7" xfId="0" applyFont="1" applyFill="1" applyBorder="1" applyAlignment="1">
      <alignment horizontal="left" vertical="center"/>
    </xf>
    <xf numFmtId="10" fontId="1" fillId="9" borderId="0" xfId="0" applyNumberFormat="1" applyFont="1" applyFill="1"/>
    <xf numFmtId="9" fontId="1" fillId="9" borderId="0" xfId="0" applyNumberFormat="1" applyFont="1" applyFill="1"/>
    <xf numFmtId="170" fontId="1" fillId="9" borderId="12" xfId="1" applyNumberFormat="1" applyFont="1" applyFill="1" applyBorder="1" applyAlignment="1">
      <alignment horizontal="center"/>
    </xf>
    <xf numFmtId="14" fontId="11" fillId="4" borderId="22" xfId="3" applyNumberFormat="1" applyFont="1" applyBorder="1" applyAlignment="1">
      <alignment horizontal="center" vertical="center"/>
    </xf>
    <xf numFmtId="14" fontId="10" fillId="4" borderId="31" xfId="3" applyNumberFormat="1" applyFont="1" applyBorder="1" applyAlignment="1">
      <alignment horizontal="center" vertical="center"/>
    </xf>
    <xf numFmtId="14" fontId="10" fillId="4" borderId="21" xfId="3" applyNumberFormat="1" applyFont="1" applyBorder="1" applyAlignment="1">
      <alignment horizontal="center" vertical="center"/>
    </xf>
    <xf numFmtId="14" fontId="11" fillId="4" borderId="32" xfId="3" applyNumberFormat="1" applyFont="1" applyBorder="1" applyAlignment="1">
      <alignment horizontal="center" vertical="center"/>
    </xf>
    <xf numFmtId="164" fontId="10" fillId="9" borderId="8" xfId="0" applyNumberFormat="1" applyFont="1" applyFill="1" applyBorder="1" applyAlignment="1">
      <alignment vertical="center"/>
    </xf>
    <xf numFmtId="170" fontId="1" fillId="9" borderId="0" xfId="1" applyNumberFormat="1" applyFont="1" applyFill="1" applyBorder="1" applyAlignment="1">
      <alignment horizontal="center"/>
    </xf>
    <xf numFmtId="0" fontId="12" fillId="9" borderId="7" xfId="0" applyFont="1" applyFill="1" applyBorder="1" applyAlignment="1">
      <alignment horizontal="left"/>
    </xf>
    <xf numFmtId="164" fontId="12" fillId="9" borderId="0" xfId="0" applyNumberFormat="1" applyFont="1" applyFill="1" applyAlignment="1">
      <alignment vertical="center"/>
    </xf>
    <xf numFmtId="164" fontId="12" fillId="9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horizontal="left" vertical="center"/>
    </xf>
    <xf numFmtId="164" fontId="10" fillId="9" borderId="0" xfId="0" applyNumberFormat="1" applyFont="1" applyFill="1" applyAlignment="1">
      <alignment vertical="center"/>
    </xf>
    <xf numFmtId="164" fontId="10" fillId="9" borderId="0" xfId="0" applyNumberFormat="1" applyFont="1" applyFill="1"/>
    <xf numFmtId="164" fontId="10" fillId="9" borderId="8" xfId="0" applyNumberFormat="1" applyFont="1" applyFill="1" applyBorder="1"/>
    <xf numFmtId="164" fontId="12" fillId="9" borderId="0" xfId="0" applyNumberFormat="1" applyFont="1" applyFill="1"/>
    <xf numFmtId="164" fontId="12" fillId="9" borderId="8" xfId="0" applyNumberFormat="1" applyFont="1" applyFill="1" applyBorder="1"/>
    <xf numFmtId="167" fontId="12" fillId="9" borderId="0" xfId="0" applyNumberFormat="1" applyFont="1" applyFill="1"/>
    <xf numFmtId="167" fontId="12" fillId="9" borderId="8" xfId="0" applyNumberFormat="1" applyFont="1" applyFill="1" applyBorder="1"/>
    <xf numFmtId="0" fontId="12" fillId="9" borderId="0" xfId="0" applyFont="1" applyFill="1" applyAlignment="1">
      <alignment vertical="center"/>
    </xf>
    <xf numFmtId="0" fontId="10" fillId="9" borderId="0" xfId="0" applyFont="1" applyFill="1"/>
    <xf numFmtId="0" fontId="10" fillId="9" borderId="8" xfId="0" applyFont="1" applyFill="1" applyBorder="1"/>
    <xf numFmtId="0" fontId="12" fillId="9" borderId="0" xfId="0" applyFont="1" applyFill="1"/>
    <xf numFmtId="0" fontId="12" fillId="9" borderId="8" xfId="0" applyFont="1" applyFill="1" applyBorder="1"/>
    <xf numFmtId="0" fontId="10" fillId="9" borderId="7" xfId="0" applyFont="1" applyFill="1" applyBorder="1"/>
    <xf numFmtId="0" fontId="12" fillId="9" borderId="7" xfId="0" applyFont="1" applyFill="1" applyBorder="1"/>
    <xf numFmtId="10" fontId="16" fillId="9" borderId="0" xfId="0" applyNumberFormat="1" applyFont="1" applyFill="1"/>
    <xf numFmtId="10" fontId="10" fillId="9" borderId="8" xfId="0" applyNumberFormat="1" applyFont="1" applyFill="1" applyBorder="1"/>
    <xf numFmtId="0" fontId="16" fillId="9" borderId="0" xfId="0" applyFont="1" applyFill="1"/>
    <xf numFmtId="0" fontId="10" fillId="9" borderId="11" xfId="0" applyFont="1" applyFill="1" applyBorder="1"/>
    <xf numFmtId="0" fontId="10" fillId="9" borderId="12" xfId="0" applyFont="1" applyFill="1" applyBorder="1"/>
    <xf numFmtId="0" fontId="10" fillId="9" borderId="13" xfId="0" applyFont="1" applyFill="1" applyBorder="1"/>
    <xf numFmtId="0" fontId="10" fillId="9" borderId="20" xfId="0" applyFont="1" applyFill="1" applyBorder="1"/>
    <xf numFmtId="0" fontId="10" fillId="9" borderId="19" xfId="0" applyFont="1" applyFill="1" applyBorder="1"/>
    <xf numFmtId="164" fontId="10" fillId="9" borderId="19" xfId="0" applyNumberFormat="1" applyFont="1" applyFill="1" applyBorder="1"/>
    <xf numFmtId="164" fontId="10" fillId="9" borderId="21" xfId="0" applyNumberFormat="1" applyFont="1" applyFill="1" applyBorder="1"/>
    <xf numFmtId="0" fontId="13" fillId="9" borderId="7" xfId="0" applyFont="1" applyFill="1" applyBorder="1"/>
    <xf numFmtId="10" fontId="10" fillId="9" borderId="0" xfId="0" applyNumberFormat="1" applyFont="1" applyFill="1" applyAlignment="1">
      <alignment vertical="center"/>
    </xf>
    <xf numFmtId="10" fontId="10" fillId="9" borderId="8" xfId="0" applyNumberFormat="1" applyFont="1" applyFill="1" applyBorder="1" applyAlignment="1">
      <alignment vertical="center"/>
    </xf>
    <xf numFmtId="10" fontId="10" fillId="9" borderId="0" xfId="1" applyNumberFormat="1" applyFont="1" applyFill="1" applyBorder="1"/>
    <xf numFmtId="10" fontId="10" fillId="9" borderId="8" xfId="1" applyNumberFormat="1" applyFont="1" applyFill="1" applyBorder="1"/>
    <xf numFmtId="0" fontId="10" fillId="9" borderId="7" xfId="0" applyFont="1" applyFill="1" applyBorder="1" applyAlignment="1">
      <alignment horizontal="left" indent="2"/>
    </xf>
    <xf numFmtId="0" fontId="10" fillId="9" borderId="7" xfId="0" applyFont="1" applyFill="1" applyBorder="1" applyAlignment="1">
      <alignment horizontal="left"/>
    </xf>
    <xf numFmtId="0" fontId="13" fillId="9" borderId="7" xfId="0" applyFont="1" applyFill="1" applyBorder="1" applyAlignment="1">
      <alignment horizontal="left"/>
    </xf>
    <xf numFmtId="0" fontId="10" fillId="9" borderId="21" xfId="0" applyFont="1" applyFill="1" applyBorder="1"/>
    <xf numFmtId="164" fontId="10" fillId="9" borderId="0" xfId="0" applyNumberFormat="1" applyFont="1" applyFill="1" applyAlignment="1">
      <alignment horizontal="right"/>
    </xf>
    <xf numFmtId="164" fontId="10" fillId="9" borderId="8" xfId="0" applyNumberFormat="1" applyFont="1" applyFill="1" applyBorder="1" applyAlignment="1">
      <alignment horizontal="right"/>
    </xf>
    <xf numFmtId="1" fontId="10" fillId="9" borderId="0" xfId="0" applyNumberFormat="1" applyFont="1" applyFill="1" applyAlignment="1">
      <alignment horizontal="right"/>
    </xf>
    <xf numFmtId="1" fontId="10" fillId="9" borderId="8" xfId="0" applyNumberFormat="1" applyFont="1" applyFill="1" applyBorder="1" applyAlignment="1">
      <alignment horizontal="right"/>
    </xf>
    <xf numFmtId="0" fontId="10" fillId="9" borderId="0" xfId="0" applyFont="1" applyFill="1" applyAlignment="1">
      <alignment horizontal="right"/>
    </xf>
    <xf numFmtId="43" fontId="10" fillId="9" borderId="0" xfId="0" applyNumberFormat="1" applyFont="1" applyFill="1"/>
    <xf numFmtId="43" fontId="10" fillId="9" borderId="8" xfId="0" applyNumberFormat="1" applyFont="1" applyFill="1" applyBorder="1"/>
    <xf numFmtId="43" fontId="12" fillId="9" borderId="0" xfId="0" applyNumberFormat="1" applyFont="1" applyFill="1"/>
    <xf numFmtId="43" fontId="12" fillId="9" borderId="8" xfId="0" applyNumberFormat="1" applyFont="1" applyFill="1" applyBorder="1"/>
    <xf numFmtId="0" fontId="14" fillId="9" borderId="7" xfId="0" applyFont="1" applyFill="1" applyBorder="1"/>
    <xf numFmtId="0" fontId="12" fillId="9" borderId="16" xfId="0" applyFont="1" applyFill="1" applyBorder="1"/>
    <xf numFmtId="164" fontId="12" fillId="9" borderId="17" xfId="0" applyNumberFormat="1" applyFont="1" applyFill="1" applyBorder="1"/>
    <xf numFmtId="0" fontId="12" fillId="9" borderId="17" xfId="0" applyFont="1" applyFill="1" applyBorder="1" applyAlignment="1">
      <alignment horizontal="center"/>
    </xf>
    <xf numFmtId="0" fontId="12" fillId="9" borderId="18" xfId="0" applyFont="1" applyFill="1" applyBorder="1" applyAlignment="1">
      <alignment horizontal="center"/>
    </xf>
    <xf numFmtId="2" fontId="10" fillId="9" borderId="0" xfId="0" applyNumberFormat="1" applyFont="1" applyFill="1"/>
    <xf numFmtId="2" fontId="10" fillId="9" borderId="8" xfId="0" applyNumberFormat="1" applyFont="1" applyFill="1" applyBorder="1"/>
    <xf numFmtId="0" fontId="12" fillId="9" borderId="4" xfId="0" applyFont="1" applyFill="1" applyBorder="1"/>
    <xf numFmtId="164" fontId="12" fillId="9" borderId="5" xfId="0" applyNumberFormat="1" applyFont="1" applyFill="1" applyBorder="1"/>
    <xf numFmtId="164" fontId="12" fillId="9" borderId="6" xfId="0" applyNumberFormat="1" applyFont="1" applyFill="1" applyBorder="1"/>
    <xf numFmtId="0" fontId="10" fillId="9" borderId="23" xfId="0" applyFont="1" applyFill="1" applyBorder="1"/>
    <xf numFmtId="0" fontId="10" fillId="9" borderId="1" xfId="0" applyFont="1" applyFill="1" applyBorder="1"/>
    <xf numFmtId="43" fontId="12" fillId="9" borderId="24" xfId="0" applyNumberFormat="1" applyFont="1" applyFill="1" applyBorder="1"/>
    <xf numFmtId="0" fontId="12" fillId="9" borderId="23" xfId="0" applyFont="1" applyFill="1" applyBorder="1"/>
    <xf numFmtId="164" fontId="12" fillId="9" borderId="1" xfId="0" applyNumberFormat="1" applyFont="1" applyFill="1" applyBorder="1"/>
    <xf numFmtId="164" fontId="12" fillId="9" borderId="24" xfId="0" applyNumberFormat="1" applyFont="1" applyFill="1" applyBorder="1"/>
    <xf numFmtId="0" fontId="12" fillId="9" borderId="25" xfId="0" applyFont="1" applyFill="1" applyBorder="1"/>
    <xf numFmtId="0" fontId="10" fillId="9" borderId="29" xfId="0" applyFont="1" applyFill="1" applyBorder="1"/>
    <xf numFmtId="164" fontId="12" fillId="9" borderId="29" xfId="0" applyNumberFormat="1" applyFont="1" applyFill="1" applyBorder="1"/>
    <xf numFmtId="164" fontId="12" fillId="9" borderId="26" xfId="0" applyNumberFormat="1" applyFont="1" applyFill="1" applyBorder="1"/>
    <xf numFmtId="44" fontId="12" fillId="9" borderId="6" xfId="4" applyFont="1" applyFill="1" applyBorder="1"/>
    <xf numFmtId="164" fontId="10" fillId="9" borderId="24" xfId="0" applyNumberFormat="1" applyFont="1" applyFill="1" applyBorder="1"/>
    <xf numFmtId="44" fontId="12" fillId="9" borderId="24" xfId="4" applyFont="1" applyFill="1" applyBorder="1"/>
    <xf numFmtId="10" fontId="12" fillId="9" borderId="24" xfId="4" applyNumberFormat="1" applyFont="1" applyFill="1" applyBorder="1"/>
    <xf numFmtId="0" fontId="10" fillId="9" borderId="24" xfId="0" applyFont="1" applyFill="1" applyBorder="1"/>
    <xf numFmtId="3" fontId="10" fillId="9" borderId="24" xfId="0" applyNumberFormat="1" applyFont="1" applyFill="1" applyBorder="1"/>
    <xf numFmtId="0" fontId="12" fillId="9" borderId="23" xfId="0" applyFont="1" applyFill="1" applyBorder="1" applyAlignment="1">
      <alignment horizontal="left" vertical="center"/>
    </xf>
    <xf numFmtId="166" fontId="12" fillId="9" borderId="24" xfId="0" applyNumberFormat="1" applyFont="1" applyFill="1" applyBorder="1"/>
    <xf numFmtId="44" fontId="12" fillId="9" borderId="8" xfId="0" applyNumberFormat="1" applyFont="1" applyFill="1" applyBorder="1"/>
    <xf numFmtId="4" fontId="10" fillId="9" borderId="0" xfId="0" applyNumberFormat="1" applyFont="1" applyFill="1"/>
    <xf numFmtId="0" fontId="12" fillId="9" borderId="27" xfId="0" applyFont="1" applyFill="1" applyBorder="1"/>
    <xf numFmtId="44" fontId="10" fillId="9" borderId="28" xfId="4" applyFont="1" applyFill="1" applyBorder="1"/>
    <xf numFmtId="0" fontId="10" fillId="9" borderId="25" xfId="0" applyFont="1" applyFill="1" applyBorder="1" applyAlignment="1">
      <alignment horizontal="left" vertical="center"/>
    </xf>
    <xf numFmtId="9" fontId="10" fillId="9" borderId="26" xfId="0" applyNumberFormat="1" applyFont="1" applyFill="1" applyBorder="1"/>
    <xf numFmtId="0" fontId="12" fillId="9" borderId="7" xfId="0" applyFont="1" applyFill="1" applyBorder="1" applyAlignment="1">
      <alignment vertical="center"/>
    </xf>
    <xf numFmtId="10" fontId="10" fillId="9" borderId="6" xfId="0" applyNumberFormat="1" applyFont="1" applyFill="1" applyBorder="1"/>
    <xf numFmtId="2" fontId="10" fillId="9" borderId="24" xfId="0" applyNumberFormat="1" applyFont="1" applyFill="1" applyBorder="1"/>
    <xf numFmtId="10" fontId="10" fillId="9" borderId="24" xfId="0" applyNumberFormat="1" applyFont="1" applyFill="1" applyBorder="1"/>
    <xf numFmtId="9" fontId="10" fillId="9" borderId="24" xfId="0" applyNumberFormat="1" applyFont="1" applyFill="1" applyBorder="1"/>
    <xf numFmtId="9" fontId="10" fillId="9" borderId="0" xfId="0" applyNumberFormat="1" applyFont="1" applyFill="1"/>
    <xf numFmtId="0" fontId="10" fillId="9" borderId="25" xfId="0" applyFont="1" applyFill="1" applyBorder="1"/>
    <xf numFmtId="10" fontId="10" fillId="9" borderId="26" xfId="0" applyNumberFormat="1" applyFont="1" applyFill="1" applyBorder="1"/>
    <xf numFmtId="10" fontId="10" fillId="9" borderId="4" xfId="0" applyNumberFormat="1" applyFont="1" applyFill="1" applyBorder="1"/>
    <xf numFmtId="3" fontId="10" fillId="9" borderId="6" xfId="0" applyNumberFormat="1" applyFont="1" applyFill="1" applyBorder="1"/>
    <xf numFmtId="3" fontId="10" fillId="9" borderId="26" xfId="0" applyNumberFormat="1" applyFont="1" applyFill="1" applyBorder="1"/>
    <xf numFmtId="0" fontId="18" fillId="9" borderId="7" xfId="5" applyFill="1" applyBorder="1"/>
    <xf numFmtId="0" fontId="12" fillId="9" borderId="0" xfId="0" applyFont="1" applyFill="1" applyAlignment="1">
      <alignment horizontal="center"/>
    </xf>
    <xf numFmtId="0" fontId="5" fillId="9" borderId="7" xfId="0" applyFont="1" applyFill="1" applyBorder="1" applyAlignment="1">
      <alignment horizontal="left"/>
    </xf>
    <xf numFmtId="164" fontId="10" fillId="9" borderId="0" xfId="0" applyNumberFormat="1" applyFont="1" applyFill="1" applyAlignment="1">
      <alignment horizontal="center"/>
    </xf>
    <xf numFmtId="164" fontId="10" fillId="9" borderId="8" xfId="0" applyNumberFormat="1" applyFont="1" applyFill="1" applyBorder="1" applyAlignment="1">
      <alignment horizontal="center"/>
    </xf>
    <xf numFmtId="0" fontId="5" fillId="9" borderId="9" xfId="0" applyFont="1" applyFill="1" applyBorder="1" applyAlignment="1">
      <alignment horizontal="left"/>
    </xf>
    <xf numFmtId="164" fontId="10" fillId="9" borderId="3" xfId="0" applyNumberFormat="1" applyFont="1" applyFill="1" applyBorder="1" applyAlignment="1">
      <alignment horizontal="center"/>
    </xf>
    <xf numFmtId="164" fontId="10" fillId="9" borderId="10" xfId="0" applyNumberFormat="1" applyFont="1" applyFill="1" applyBorder="1" applyAlignment="1">
      <alignment horizontal="center"/>
    </xf>
    <xf numFmtId="0" fontId="3" fillId="9" borderId="11" xfId="0" applyFont="1" applyFill="1" applyBorder="1" applyAlignment="1">
      <alignment horizontal="left" vertical="center"/>
    </xf>
    <xf numFmtId="164" fontId="10" fillId="9" borderId="12" xfId="0" applyNumberFormat="1" applyFont="1" applyFill="1" applyBorder="1"/>
    <xf numFmtId="164" fontId="10" fillId="9" borderId="13" xfId="0" applyNumberFormat="1" applyFont="1" applyFill="1" applyBorder="1"/>
    <xf numFmtId="164" fontId="5" fillId="9" borderId="0" xfId="0" applyNumberFormat="1" applyFont="1" applyFill="1" applyAlignment="1">
      <alignment vertical="center"/>
    </xf>
    <xf numFmtId="164" fontId="5" fillId="9" borderId="8" xfId="0" applyNumberFormat="1" applyFont="1" applyFill="1" applyBorder="1" applyAlignment="1">
      <alignment vertical="center"/>
    </xf>
    <xf numFmtId="0" fontId="3" fillId="9" borderId="7" xfId="0" applyFont="1" applyFill="1" applyBorder="1" applyAlignment="1">
      <alignment horizontal="left"/>
    </xf>
    <xf numFmtId="0" fontId="5" fillId="9" borderId="7" xfId="0" applyFont="1" applyFill="1" applyBorder="1" applyAlignment="1">
      <alignment horizontal="left" vertical="center"/>
    </xf>
    <xf numFmtId="165" fontId="5" fillId="9" borderId="7" xfId="0" applyNumberFormat="1" applyFont="1" applyFill="1" applyBorder="1" applyAlignment="1">
      <alignment vertical="center"/>
    </xf>
    <xf numFmtId="0" fontId="8" fillId="9" borderId="7" xfId="0" applyFont="1" applyFill="1" applyBorder="1"/>
    <xf numFmtId="0" fontId="7" fillId="9" borderId="7" xfId="0" applyFont="1" applyFill="1" applyBorder="1"/>
    <xf numFmtId="165" fontId="3" fillId="9" borderId="9" xfId="0" applyNumberFormat="1" applyFont="1" applyFill="1" applyBorder="1" applyAlignment="1">
      <alignment vertical="top"/>
    </xf>
    <xf numFmtId="164" fontId="5" fillId="9" borderId="3" xfId="0" applyNumberFormat="1" applyFont="1" applyFill="1" applyBorder="1" applyAlignment="1">
      <alignment vertical="center"/>
    </xf>
    <xf numFmtId="164" fontId="5" fillId="9" borderId="10" xfId="0" applyNumberFormat="1" applyFont="1" applyFill="1" applyBorder="1" applyAlignment="1">
      <alignment vertical="center"/>
    </xf>
    <xf numFmtId="0" fontId="5" fillId="9" borderId="7" xfId="0" applyFont="1" applyFill="1" applyBorder="1"/>
    <xf numFmtId="0" fontId="6" fillId="9" borderId="7" xfId="0" applyFont="1" applyFill="1" applyBorder="1" applyAlignment="1">
      <alignment vertical="center"/>
    </xf>
    <xf numFmtId="4" fontId="9" fillId="5" borderId="22" xfId="0" applyNumberFormat="1" applyFont="1" applyFill="1" applyBorder="1" applyAlignment="1">
      <alignment horizontal="center" vertical="center" wrapText="1"/>
    </xf>
    <xf numFmtId="0" fontId="9" fillId="5" borderId="33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3" fillId="9" borderId="7" xfId="0" applyFont="1" applyFill="1" applyBorder="1" applyAlignment="1">
      <alignment horizontal="left" vertical="center"/>
    </xf>
    <xf numFmtId="164" fontId="3" fillId="9" borderId="0" xfId="0" applyNumberFormat="1" applyFont="1" applyFill="1" applyAlignment="1">
      <alignment vertical="center"/>
    </xf>
    <xf numFmtId="164" fontId="3" fillId="9" borderId="8" xfId="0" applyNumberFormat="1" applyFont="1" applyFill="1" applyBorder="1" applyAlignment="1">
      <alignment vertical="center"/>
    </xf>
    <xf numFmtId="0" fontId="8" fillId="9" borderId="7" xfId="0" applyFont="1" applyFill="1" applyBorder="1" applyAlignment="1">
      <alignment horizontal="left" vertical="center" indent="1"/>
    </xf>
    <xf numFmtId="164" fontId="8" fillId="9" borderId="0" xfId="0" applyNumberFormat="1" applyFont="1" applyFill="1" applyAlignment="1">
      <alignment vertical="center"/>
    </xf>
    <xf numFmtId="164" fontId="8" fillId="9" borderId="8" xfId="0" applyNumberFormat="1" applyFont="1" applyFill="1" applyBorder="1" applyAlignment="1">
      <alignment vertical="center"/>
    </xf>
    <xf numFmtId="164" fontId="5" fillId="9" borderId="0" xfId="0" applyNumberFormat="1" applyFont="1" applyFill="1" applyAlignment="1">
      <alignment horizontal="right" vertical="center"/>
    </xf>
    <xf numFmtId="164" fontId="5" fillId="9" borderId="8" xfId="0" applyNumberFormat="1" applyFont="1" applyFill="1" applyBorder="1" applyAlignment="1">
      <alignment horizontal="right" vertical="center"/>
    </xf>
    <xf numFmtId="0" fontId="7" fillId="9" borderId="0" xfId="0" applyFont="1" applyFill="1"/>
    <xf numFmtId="164" fontId="3" fillId="9" borderId="0" xfId="0" applyNumberFormat="1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3" fillId="9" borderId="8" xfId="0" applyFont="1" applyFill="1" applyBorder="1" applyAlignment="1">
      <alignment horizontal="left" vertical="center"/>
    </xf>
    <xf numFmtId="4" fontId="9" fillId="5" borderId="32" xfId="0" applyNumberFormat="1" applyFont="1" applyFill="1" applyBorder="1" applyAlignment="1">
      <alignment horizontal="center" vertical="center" wrapText="1"/>
    </xf>
    <xf numFmtId="0" fontId="9" fillId="5" borderId="8" xfId="0" applyFont="1" applyFill="1" applyBorder="1" applyAlignment="1">
      <alignment horizontal="center" vertical="center"/>
    </xf>
    <xf numFmtId="4" fontId="5" fillId="6" borderId="7" xfId="0" applyNumberFormat="1" applyFont="1" applyFill="1" applyBorder="1" applyAlignment="1">
      <alignment horizontal="left" vertical="center"/>
    </xf>
    <xf numFmtId="4" fontId="5" fillId="9" borderId="7" xfId="0" applyNumberFormat="1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/>
    </xf>
    <xf numFmtId="164" fontId="3" fillId="9" borderId="1" xfId="0" applyNumberFormat="1" applyFont="1" applyFill="1" applyBorder="1" applyAlignment="1">
      <alignment vertical="center"/>
    </xf>
    <xf numFmtId="164" fontId="5" fillId="9" borderId="1" xfId="0" applyNumberFormat="1" applyFont="1" applyFill="1" applyBorder="1" applyAlignment="1">
      <alignment vertical="center"/>
    </xf>
    <xf numFmtId="10" fontId="5" fillId="9" borderId="1" xfId="1" applyNumberFormat="1" applyFont="1" applyFill="1" applyBorder="1" applyAlignment="1">
      <alignment vertic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1" fillId="9" borderId="23" xfId="0" applyFont="1" applyFill="1" applyBorder="1" applyAlignment="1">
      <alignment horizontal="center"/>
    </xf>
    <xf numFmtId="164" fontId="3" fillId="9" borderId="24" xfId="0" applyNumberFormat="1" applyFont="1" applyFill="1" applyBorder="1" applyAlignment="1">
      <alignment vertical="center"/>
    </xf>
    <xf numFmtId="164" fontId="5" fillId="9" borderId="24" xfId="0" applyNumberFormat="1" applyFont="1" applyFill="1" applyBorder="1" applyAlignment="1">
      <alignment vertical="center"/>
    </xf>
    <xf numFmtId="0" fontId="1" fillId="9" borderId="23" xfId="0" applyFont="1" applyFill="1" applyBorder="1" applyAlignment="1">
      <alignment horizontal="center" wrapText="1"/>
    </xf>
    <xf numFmtId="10" fontId="5" fillId="9" borderId="24" xfId="1" applyNumberFormat="1" applyFont="1" applyFill="1" applyBorder="1" applyAlignment="1">
      <alignment vertical="center"/>
    </xf>
    <xf numFmtId="0" fontId="1" fillId="9" borderId="25" xfId="0" applyFont="1" applyFill="1" applyBorder="1" applyAlignment="1">
      <alignment horizontal="center" wrapText="1"/>
    </xf>
    <xf numFmtId="10" fontId="5" fillId="9" borderId="29" xfId="1" applyNumberFormat="1" applyFont="1" applyFill="1" applyBorder="1" applyAlignment="1">
      <alignment vertical="center"/>
    </xf>
    <xf numFmtId="10" fontId="5" fillId="9" borderId="26" xfId="1" applyNumberFormat="1" applyFont="1" applyFill="1" applyBorder="1" applyAlignment="1">
      <alignment vertical="center"/>
    </xf>
    <xf numFmtId="0" fontId="0" fillId="10" borderId="20" xfId="0" applyFill="1" applyBorder="1"/>
    <xf numFmtId="0" fontId="0" fillId="10" borderId="19" xfId="0" applyFill="1" applyBorder="1"/>
    <xf numFmtId="0" fontId="0" fillId="10" borderId="21" xfId="0" applyFill="1" applyBorder="1"/>
    <xf numFmtId="0" fontId="0" fillId="10" borderId="7" xfId="0" applyFill="1" applyBorder="1"/>
    <xf numFmtId="0" fontId="0" fillId="10" borderId="0" xfId="0" applyFill="1"/>
    <xf numFmtId="0" fontId="0" fillId="10" borderId="8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ill="1" applyBorder="1"/>
    <xf numFmtId="3" fontId="10" fillId="0" borderId="0" xfId="0" applyNumberFormat="1" applyFont="1"/>
    <xf numFmtId="170" fontId="0" fillId="10" borderId="0" xfId="1" applyNumberFormat="1" applyFont="1" applyFill="1" applyBorder="1"/>
    <xf numFmtId="10" fontId="10" fillId="9" borderId="27" xfId="0" applyNumberFormat="1" applyFont="1" applyFill="1" applyBorder="1"/>
    <xf numFmtId="3" fontId="10" fillId="9" borderId="28" xfId="0" applyNumberFormat="1" applyFont="1" applyFill="1" applyBorder="1"/>
    <xf numFmtId="164" fontId="12" fillId="9" borderId="25" xfId="0" applyNumberFormat="1" applyFont="1" applyFill="1" applyBorder="1"/>
    <xf numFmtId="167" fontId="12" fillId="9" borderId="26" xfId="0" applyNumberFormat="1" applyFont="1" applyFill="1" applyBorder="1"/>
    <xf numFmtId="8" fontId="10" fillId="9" borderId="0" xfId="0" applyNumberFormat="1" applyFont="1" applyFill="1"/>
    <xf numFmtId="0" fontId="1" fillId="10" borderId="4" xfId="0" applyFont="1" applyFill="1" applyBorder="1"/>
    <xf numFmtId="0" fontId="1" fillId="10" borderId="5" xfId="0" applyFont="1" applyFill="1" applyBorder="1"/>
    <xf numFmtId="0" fontId="17" fillId="10" borderId="6" xfId="0" applyFont="1" applyFill="1" applyBorder="1"/>
    <xf numFmtId="9" fontId="22" fillId="3" borderId="25" xfId="2" applyNumberFormat="1" applyFont="1" applyBorder="1" applyAlignment="1">
      <alignment horizontal="center"/>
    </xf>
    <xf numFmtId="9" fontId="22" fillId="3" borderId="29" xfId="2" applyNumberFormat="1" applyFont="1" applyBorder="1" applyAlignment="1">
      <alignment horizontal="center"/>
    </xf>
    <xf numFmtId="9" fontId="22" fillId="3" borderId="26" xfId="2" applyNumberFormat="1" applyFont="1" applyBorder="1" applyAlignment="1">
      <alignment horizontal="center"/>
    </xf>
    <xf numFmtId="170" fontId="21" fillId="3" borderId="44" xfId="2" applyNumberFormat="1" applyFont="1" applyBorder="1" applyAlignment="1">
      <alignment horizontal="center"/>
    </xf>
    <xf numFmtId="170" fontId="21" fillId="3" borderId="45" xfId="2" applyNumberFormat="1" applyFont="1" applyBorder="1" applyAlignment="1">
      <alignment horizontal="center"/>
    </xf>
    <xf numFmtId="170" fontId="21" fillId="3" borderId="46" xfId="2" applyNumberFormat="1" applyFont="1" applyBorder="1" applyAlignment="1">
      <alignment horizontal="center"/>
    </xf>
    <xf numFmtId="6" fontId="23" fillId="9" borderId="37" xfId="0" applyNumberFormat="1" applyFont="1" applyFill="1" applyBorder="1" applyAlignment="1">
      <alignment horizontal="center" vertical="center"/>
    </xf>
    <xf numFmtId="6" fontId="23" fillId="9" borderId="38" xfId="0" applyNumberFormat="1" applyFont="1" applyFill="1" applyBorder="1" applyAlignment="1">
      <alignment horizontal="center" vertical="center"/>
    </xf>
    <xf numFmtId="6" fontId="23" fillId="9" borderId="39" xfId="0" applyNumberFormat="1" applyFont="1" applyFill="1" applyBorder="1" applyAlignment="1">
      <alignment horizontal="center" vertical="center"/>
    </xf>
    <xf numFmtId="6" fontId="23" fillId="6" borderId="38" xfId="0" applyNumberFormat="1" applyFont="1" applyFill="1" applyBorder="1" applyAlignment="1">
      <alignment horizontal="center" vertical="center"/>
    </xf>
    <xf numFmtId="6" fontId="23" fillId="9" borderId="40" xfId="0" applyNumberFormat="1" applyFont="1" applyFill="1" applyBorder="1" applyAlignment="1">
      <alignment horizontal="center" vertical="center"/>
    </xf>
    <xf numFmtId="6" fontId="23" fillId="9" borderId="41" xfId="0" applyNumberFormat="1" applyFont="1" applyFill="1" applyBorder="1" applyAlignment="1">
      <alignment horizontal="center" vertical="center"/>
    </xf>
    <xf numFmtId="6" fontId="23" fillId="9" borderId="13" xfId="0" applyNumberFormat="1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 wrapText="1"/>
    </xf>
    <xf numFmtId="10" fontId="26" fillId="3" borderId="18" xfId="2" applyNumberFormat="1" applyFont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 wrapText="1"/>
    </xf>
    <xf numFmtId="169" fontId="21" fillId="3" borderId="18" xfId="2" applyNumberFormat="1" applyFont="1" applyBorder="1" applyAlignment="1">
      <alignment horizontal="center" vertical="center"/>
    </xf>
    <xf numFmtId="0" fontId="27" fillId="9" borderId="0" xfId="0" applyFont="1" applyFill="1" applyAlignment="1">
      <alignment vertical="center"/>
    </xf>
    <xf numFmtId="10" fontId="21" fillId="3" borderId="18" xfId="2" applyNumberFormat="1" applyFont="1" applyBorder="1" applyAlignment="1">
      <alignment horizontal="center" vertical="center"/>
    </xf>
    <xf numFmtId="168" fontId="21" fillId="3" borderId="18" xfId="2" applyNumberFormat="1" applyFont="1" applyBorder="1" applyAlignment="1">
      <alignment horizontal="center" vertical="center"/>
    </xf>
    <xf numFmtId="3" fontId="10" fillId="9" borderId="0" xfId="0" applyNumberFormat="1" applyFont="1" applyFill="1"/>
    <xf numFmtId="0" fontId="20" fillId="8" borderId="15" xfId="0" applyFont="1" applyFill="1" applyBorder="1" applyAlignment="1">
      <alignment horizontal="center" vertical="center" wrapText="1"/>
    </xf>
    <xf numFmtId="9" fontId="26" fillId="3" borderId="18" xfId="1" applyFont="1" applyFill="1" applyBorder="1" applyAlignment="1">
      <alignment horizontal="center" vertical="center"/>
    </xf>
    <xf numFmtId="0" fontId="11" fillId="4" borderId="2" xfId="3" applyNumberFormat="1" applyFont="1" applyBorder="1" applyAlignment="1">
      <alignment horizontal="center" vertical="center"/>
    </xf>
    <xf numFmtId="0" fontId="11" fillId="4" borderId="8" xfId="3" applyNumberFormat="1" applyFont="1" applyBorder="1" applyAlignment="1">
      <alignment horizontal="center" vertical="center"/>
    </xf>
    <xf numFmtId="0" fontId="12" fillId="9" borderId="12" xfId="0" applyFont="1" applyFill="1" applyBorder="1" applyAlignment="1">
      <alignment horizontal="center"/>
    </xf>
    <xf numFmtId="0" fontId="19" fillId="3" borderId="20" xfId="2" applyFont="1" applyBorder="1" applyAlignment="1">
      <alignment horizontal="center" vertical="center"/>
    </xf>
    <xf numFmtId="0" fontId="19" fillId="3" borderId="21" xfId="2" applyFont="1" applyBorder="1" applyAlignment="1">
      <alignment horizontal="center" vertical="center"/>
    </xf>
    <xf numFmtId="0" fontId="19" fillId="3" borderId="11" xfId="2" applyFont="1" applyBorder="1" applyAlignment="1">
      <alignment horizontal="center" vertical="center"/>
    </xf>
    <xf numFmtId="0" fontId="19" fillId="3" borderId="13" xfId="2" applyFont="1" applyBorder="1" applyAlignment="1">
      <alignment horizontal="center" vertical="center"/>
    </xf>
    <xf numFmtId="0" fontId="20" fillId="3" borderId="30" xfId="2" applyFont="1" applyBorder="1" applyAlignment="1">
      <alignment horizontal="center" vertical="center"/>
    </xf>
    <xf numFmtId="0" fontId="20" fillId="3" borderId="42" xfId="2" applyFont="1" applyBorder="1" applyAlignment="1">
      <alignment horizontal="center" vertical="center"/>
    </xf>
    <xf numFmtId="0" fontId="20" fillId="3" borderId="43" xfId="2" applyFont="1" applyBorder="1" applyAlignment="1">
      <alignment horizontal="center" vertical="center"/>
    </xf>
    <xf numFmtId="0" fontId="19" fillId="3" borderId="34" xfId="2" applyFont="1" applyBorder="1" applyAlignment="1">
      <alignment horizontal="center" vertical="center"/>
    </xf>
    <xf numFmtId="0" fontId="19" fillId="3" borderId="35" xfId="2" applyFont="1" applyBorder="1" applyAlignment="1">
      <alignment horizontal="center" vertical="center"/>
    </xf>
    <xf numFmtId="0" fontId="19" fillId="3" borderId="36" xfId="2" applyFont="1" applyBorder="1" applyAlignment="1">
      <alignment horizontal="center" vertical="center"/>
    </xf>
    <xf numFmtId="0" fontId="17" fillId="3" borderId="16" xfId="2" applyFont="1" applyBorder="1" applyAlignment="1">
      <alignment horizontal="center"/>
    </xf>
    <xf numFmtId="0" fontId="17" fillId="3" borderId="17" xfId="2" applyFont="1" applyBorder="1" applyAlignment="1">
      <alignment horizontal="center"/>
    </xf>
    <xf numFmtId="0" fontId="17" fillId="3" borderId="18" xfId="2" applyFont="1" applyBorder="1" applyAlignment="1">
      <alignment horizontal="center"/>
    </xf>
    <xf numFmtId="0" fontId="17" fillId="4" borderId="16" xfId="3" applyFont="1" applyBorder="1" applyAlignment="1">
      <alignment horizontal="center"/>
    </xf>
    <xf numFmtId="0" fontId="17" fillId="4" borderId="17" xfId="3" applyFont="1" applyBorder="1" applyAlignment="1">
      <alignment horizontal="center"/>
    </xf>
    <xf numFmtId="0" fontId="17" fillId="4" borderId="18" xfId="3" applyFont="1" applyBorder="1" applyAlignment="1">
      <alignment horizontal="center"/>
    </xf>
    <xf numFmtId="0" fontId="1" fillId="9" borderId="1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0" fontId="1" fillId="9" borderId="34" xfId="0" applyFont="1" applyFill="1" applyBorder="1" applyAlignment="1">
      <alignment horizontal="center" wrapText="1"/>
    </xf>
    <xf numFmtId="0" fontId="1" fillId="9" borderId="35" xfId="0" applyFont="1" applyFill="1" applyBorder="1" applyAlignment="1">
      <alignment horizontal="center" wrapText="1"/>
    </xf>
    <xf numFmtId="0" fontId="1" fillId="9" borderId="36" xfId="0" applyFont="1" applyFill="1" applyBorder="1" applyAlignment="1">
      <alignment horizontal="center" wrapText="1"/>
    </xf>
  </cellXfs>
  <cellStyles count="6">
    <cellStyle name="60% - Ênfase1" xfId="3" builtinId="32"/>
    <cellStyle name="Ênfase1" xfId="2" builtinId="29"/>
    <cellStyle name="Hiperlink" xfId="5" builtinId="8"/>
    <cellStyle name="Moeda" xfId="4" builtinId="4"/>
    <cellStyle name="Normal" xfId="0" builtinId="0"/>
    <cellStyle name="Porcentagem" xfId="1" builtinId="5"/>
  </cellStyles>
  <dxfs count="5">
    <dxf>
      <font>
        <b/>
        <i val="0"/>
        <color rgb="FF92D050"/>
      </font>
    </dxf>
    <dxf>
      <font>
        <b/>
        <i val="0"/>
        <color rgb="FFFF0000"/>
      </font>
    </dxf>
    <dxf>
      <font>
        <b/>
        <i val="0"/>
        <color theme="0"/>
      </font>
    </dxf>
    <dxf>
      <font>
        <b/>
        <i val="0"/>
        <color rgb="FF92D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B05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SupportingPropertyBagStructure" Target="richData/rdsupportingpropertybagstructure.xml"/><Relationship Id="rId10" Type="http://schemas.openxmlformats.org/officeDocument/2006/relationships/sharedStrings" Target="sharedStrings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ichStyles" Target="richData/rich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Comparação Competitiva</a:t>
            </a:r>
          </a:p>
        </c:rich>
      </c:tx>
      <c:layout>
        <c:manualLayout>
          <c:xMode val="edge"/>
          <c:yMode val="edge"/>
          <c:x val="0.41811278399174373"/>
          <c:y val="3.8406681269951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CENÁRIOS!$V$27</c:f>
              <c:strCache>
                <c:ptCount val="1"/>
                <c:pt idx="0">
                  <c:v>WACC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4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45000"/>
                  </a:srgbClr>
                </a:outerShdw>
              </a:effectLst>
            </c:spPr>
          </c:marker>
          <c:xVal>
            <c:numRef>
              <c:f>CENÁRIOS!$U$28:$U$31</c:f>
              <c:numCache>
                <c:formatCode>#,##0</c:formatCode>
                <c:ptCount val="4"/>
                <c:pt idx="0">
                  <c:v>31.4</c:v>
                </c:pt>
                <c:pt idx="1">
                  <c:v>7</c:v>
                </c:pt>
                <c:pt idx="2">
                  <c:v>1.8</c:v>
                </c:pt>
                <c:pt idx="3">
                  <c:v>5.91</c:v>
                </c:pt>
              </c:numCache>
            </c:numRef>
          </c:xVal>
          <c:yVal>
            <c:numRef>
              <c:f>CENÁRIOS!$V$28:$V$31</c:f>
              <c:numCache>
                <c:formatCode>0.00%</c:formatCode>
                <c:ptCount val="4"/>
                <c:pt idx="0">
                  <c:v>8.9700000000000002E-2</c:v>
                </c:pt>
                <c:pt idx="1">
                  <c:v>0.1431</c:v>
                </c:pt>
                <c:pt idx="2">
                  <c:v>8.8200000000000001E-2</c:v>
                </c:pt>
                <c:pt idx="3">
                  <c:v>0.10455383510835325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5-4867-AF9F-5FA282A0E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85279"/>
        <c:axId val="78284031"/>
      </c:scatterChart>
      <c:valAx>
        <c:axId val="78285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6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0"/>
                  <a:t>Market Cap. (R$ bi)</a:t>
                </a:r>
              </a:p>
            </c:rich>
          </c:tx>
          <c:layout>
            <c:manualLayout>
              <c:xMode val="edge"/>
              <c:yMode val="edge"/>
              <c:x val="0.4393901165273798"/>
              <c:y val="0.871494284352209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6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284031"/>
        <c:crosses val="autoZero"/>
        <c:crossBetween val="midCat"/>
      </c:valAx>
      <c:valAx>
        <c:axId val="782840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2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000" b="0"/>
                  <a:t>wacc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2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2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285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200" b="1" i="0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Proporção de Lojas</a:t>
            </a:r>
          </a:p>
        </c:rich>
      </c:tx>
      <c:layout>
        <c:manualLayout>
          <c:xMode val="edge"/>
          <c:yMode val="edge"/>
          <c:x val="0.33217154906903462"/>
          <c:y val="3.1718566900201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11414159225735"/>
          <c:y val="0.29831462021137051"/>
          <c:w val="0.65189870526418692"/>
          <c:h val="0.3769297126547591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91B7-4CAF-932C-075640EB334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3E27-4CFF-BE1C-85FA4E3DB6B9}"/>
              </c:ext>
            </c:extLst>
          </c:dPt>
          <c:dLbls>
            <c:dLbl>
              <c:idx val="0"/>
              <c:layout>
                <c:manualLayout>
                  <c:x val="8.8433090870365952E-2"/>
                  <c:y val="-2.347622010105626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B7-4CAF-932C-075640EB33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CENÁRIOS!$M$30:$M$31</c:f>
              <c:strCache>
                <c:ptCount val="2"/>
                <c:pt idx="0">
                  <c:v>Lojas Centauro</c:v>
                </c:pt>
                <c:pt idx="1">
                  <c:v>Lojas Fisia</c:v>
                </c:pt>
              </c:strCache>
            </c:strRef>
          </c:cat>
          <c:val>
            <c:numRef>
              <c:f>CENÁRIOS!$N$30:$N$31</c:f>
              <c:numCache>
                <c:formatCode>0.0%</c:formatCode>
                <c:ptCount val="2"/>
                <c:pt idx="0">
                  <c:v>0.9140340237703739</c:v>
                </c:pt>
                <c:pt idx="1">
                  <c:v>8.2058431855552144E-2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B7-4CAF-932C-075640EB33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741367133573137"/>
          <c:y val="0.78048678759349477"/>
          <c:w val="0.78835258549724119"/>
          <c:h val="0.18768125787344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VALUATION!$C$2:$M$2</c:f>
              <c:numCache>
                <c:formatCode>General</c:formatCode>
                <c:ptCount val="11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</c:numCache>
            </c:numRef>
          </c:cat>
          <c:val>
            <c:numRef>
              <c:f>VALUATION!$C$8:$M$8</c:f>
              <c:numCache>
                <c:formatCode>_(* #,##0_);_(* \(#,##0\);_(* "-"??_);_(@_)</c:formatCode>
                <c:ptCount val="11"/>
                <c:pt idx="0">
                  <c:v>188</c:v>
                </c:pt>
                <c:pt idx="1">
                  <c:v>192</c:v>
                </c:pt>
                <c:pt idx="2">
                  <c:v>210</c:v>
                </c:pt>
                <c:pt idx="3">
                  <c:v>233</c:v>
                </c:pt>
                <c:pt idx="4">
                  <c:v>248</c:v>
                </c:pt>
                <c:pt idx="5">
                  <c:v>251.88</c:v>
                </c:pt>
                <c:pt idx="6">
                  <c:v>255.91520000000003</c:v>
                </c:pt>
                <c:pt idx="7">
                  <c:v>260.111808</c:v>
                </c:pt>
                <c:pt idx="8">
                  <c:v>264.47628032</c:v>
                </c:pt>
                <c:pt idx="9">
                  <c:v>269.01533153280002</c:v>
                </c:pt>
                <c:pt idx="10">
                  <c:v>273.73594479411202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4-41ED-9B7F-1D5192677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3630943"/>
        <c:axId val="1273631775"/>
      </c:barChart>
      <c:catAx>
        <c:axId val="127363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631775"/>
        <c:crosses val="autoZero"/>
        <c:auto val="1"/>
        <c:lblAlgn val="ctr"/>
        <c:lblOffset val="100"/>
        <c:noMultiLvlLbl val="0"/>
      </c:catAx>
      <c:valAx>
        <c:axId val="12736317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1"/>
                  <a:t>Total</a:t>
                </a:r>
                <a:r>
                  <a:rPr lang="pt-BR" sz="1600" b="1" baseline="0"/>
                  <a:t> de Lojas</a:t>
                </a:r>
                <a:endParaRPr lang="pt-BR" sz="1600" b="1"/>
              </a:p>
            </c:rich>
          </c:tx>
          <c:layout>
            <c:manualLayout>
              <c:xMode val="edge"/>
              <c:yMode val="edge"/>
              <c:x val="1.1437864523295852E-2"/>
              <c:y val="6.72638346980271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630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 b="1"/>
              <a:t>Estrutura do Capital</a:t>
            </a:r>
          </a:p>
        </c:rich>
      </c:tx>
      <c:layout>
        <c:manualLayout>
          <c:xMode val="edge"/>
          <c:yMode val="edge"/>
          <c:x val="0.352117891513560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72-4D0D-AB42-6E5906677EAC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72-4D0D-AB42-6E5906677EAC}"/>
              </c:ext>
            </c:extLst>
          </c:dPt>
          <c:dLbls>
            <c:spPr>
              <a:solidFill>
                <a:schemeClr val="bg1"/>
              </a:solidFill>
              <a:ln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VALUATION!$B$191:$B$192</c:f>
              <c:strCache>
                <c:ptCount val="2"/>
                <c:pt idx="0">
                  <c:v>Credores (B/(B+S))</c:v>
                </c:pt>
                <c:pt idx="1">
                  <c:v>Acionistas (S/(B+S))</c:v>
                </c:pt>
              </c:strCache>
            </c:strRef>
          </c:cat>
          <c:val>
            <c:numRef>
              <c:f>VALUATION!$C$191:$C$192</c:f>
              <c:numCache>
                <c:formatCode>0.00%</c:formatCode>
                <c:ptCount val="2"/>
                <c:pt idx="0">
                  <c:v>0.72980000001737333</c:v>
                </c:pt>
                <c:pt idx="1">
                  <c:v>0.27019999998262673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72-4D0D-AB42-6E5906677EA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7.png"/><Relationship Id="rId7" Type="http://schemas.openxmlformats.org/officeDocument/2006/relationships/chart" Target="../charts/chart3.xml"/><Relationship Id="rId2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11" Type="http://schemas.openxmlformats.org/officeDocument/2006/relationships/image" Target="../media/image12.png"/><Relationship Id="rId5" Type="http://schemas.openxmlformats.org/officeDocument/2006/relationships/image" Target="../media/image9.png"/><Relationship Id="rId10" Type="http://schemas.openxmlformats.org/officeDocument/2006/relationships/image" Target="../media/image11.png"/><Relationship Id="rId4" Type="http://schemas.openxmlformats.org/officeDocument/2006/relationships/image" Target="../media/image8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160020</xdr:colOff>
          <xdr:row>2</xdr:row>
          <xdr:rowOff>167640</xdr:rowOff>
        </xdr:from>
        <xdr:to>
          <xdr:col>15</xdr:col>
          <xdr:colOff>899160</xdr:colOff>
          <xdr:row>5</xdr:row>
          <xdr:rowOff>45720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</xdr:row>
          <xdr:rowOff>114300</xdr:rowOff>
        </xdr:from>
        <xdr:to>
          <xdr:col>11</xdr:col>
          <xdr:colOff>792480</xdr:colOff>
          <xdr:row>12</xdr:row>
          <xdr:rowOff>190500</xdr:rowOff>
        </xdr:to>
        <xdr:sp macro="" textlink="">
          <xdr:nvSpPr>
            <xdr:cNvPr id="3109" name="CommandButton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579120</xdr:colOff>
          <xdr:row>2</xdr:row>
          <xdr:rowOff>167640</xdr:rowOff>
        </xdr:from>
        <xdr:to>
          <xdr:col>13</xdr:col>
          <xdr:colOff>1257300</xdr:colOff>
          <xdr:row>5</xdr:row>
          <xdr:rowOff>45720</xdr:rowOff>
        </xdr:to>
        <xdr:sp macro="" textlink="">
          <xdr:nvSpPr>
            <xdr:cNvPr id="3134" name="CommandButton3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1440180</xdr:colOff>
          <xdr:row>2</xdr:row>
          <xdr:rowOff>160020</xdr:rowOff>
        </xdr:from>
        <xdr:to>
          <xdr:col>17</xdr:col>
          <xdr:colOff>144780</xdr:colOff>
          <xdr:row>5</xdr:row>
          <xdr:rowOff>45720</xdr:rowOff>
        </xdr:to>
        <xdr:sp macro="" textlink="">
          <xdr:nvSpPr>
            <xdr:cNvPr id="3135" name="CommandButton4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195944</xdr:colOff>
      <xdr:row>18</xdr:row>
      <xdr:rowOff>58585</xdr:rowOff>
    </xdr:from>
    <xdr:to>
      <xdr:col>22</xdr:col>
      <xdr:colOff>653144</xdr:colOff>
      <xdr:row>35</xdr:row>
      <xdr:rowOff>54429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4951035" y="2843349"/>
          <a:ext cx="8769927" cy="3182389"/>
          <a:chOff x="10501126" y="2432762"/>
          <a:chExt cx="4963440" cy="2802178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0501126" y="2432762"/>
            <a:ext cx="4963440" cy="2802178"/>
            <a:chOff x="10501126" y="2432762"/>
            <a:chExt cx="4963440" cy="2802178"/>
          </a:xfrm>
        </xdr:grpSpPr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10501126" y="2432762"/>
            <a:ext cx="4963440" cy="28021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pic>
          <xdr:nvPicPr>
            <xdr:cNvPr id="15" name="Imagem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896265" y="3443510"/>
              <a:ext cx="585000" cy="189608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7" name="Imagem 16" descr="Lojas Riachuelo – Wikipédia, a enciclopédia livre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030437" y="3046517"/>
              <a:ext cx="468922" cy="16764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22" name="Imagem 21" descr="Marisa Logo – PNG e Vetor – Download de Logo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1363207" y="3747990"/>
              <a:ext cx="582086" cy="12494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26" name="Imagem 25" descr="Renner Logo – PNG e Vetor – Download de Log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39900" y="3436620"/>
            <a:ext cx="762000" cy="76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23</xdr:col>
      <xdr:colOff>249382</xdr:colOff>
      <xdr:row>39</xdr:row>
      <xdr:rowOff>83127</xdr:rowOff>
    </xdr:from>
    <xdr:to>
      <xdr:col>25</xdr:col>
      <xdr:colOff>637309</xdr:colOff>
      <xdr:row>52</xdr:row>
      <xdr:rowOff>263237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92528</xdr:colOff>
      <xdr:row>26</xdr:row>
      <xdr:rowOff>57694</xdr:rowOff>
    </xdr:from>
    <xdr:to>
      <xdr:col>16</xdr:col>
      <xdr:colOff>1330037</xdr:colOff>
      <xdr:row>35</xdr:row>
      <xdr:rowOff>41564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286987</xdr:colOff>
      <xdr:row>19</xdr:row>
      <xdr:rowOff>156359</xdr:rowOff>
    </xdr:from>
    <xdr:to>
      <xdr:col>25</xdr:col>
      <xdr:colOff>615735</xdr:colOff>
      <xdr:row>34</xdr:row>
      <xdr:rowOff>27711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723812</xdr:colOff>
      <xdr:row>16</xdr:row>
      <xdr:rowOff>70378</xdr:rowOff>
    </xdr:from>
    <xdr:to>
      <xdr:col>16</xdr:col>
      <xdr:colOff>876564</xdr:colOff>
      <xdr:row>31</xdr:row>
      <xdr:rowOff>55417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431885" y="2481069"/>
          <a:ext cx="7537224" cy="2797512"/>
          <a:chOff x="6030103" y="2356378"/>
          <a:chExt cx="6941479" cy="2797512"/>
        </a:xfrm>
      </xdr:grpSpPr>
      <xdr:pic>
        <xdr:nvPicPr>
          <xdr:cNvPr id="8" name="Imagem 7" descr="Logo Lojas Centauro – Logos PNG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57925" y="2356378"/>
            <a:ext cx="2813657" cy="279751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30103" y="2839269"/>
            <a:ext cx="3472223" cy="11231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Imagem 9" descr="Fisia - Kenoby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866328" y="2883428"/>
            <a:ext cx="1491926" cy="45885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" name="Chave Esquerda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545783" y="2840182"/>
            <a:ext cx="516774" cy="1219200"/>
          </a:xfrm>
          <a:prstGeom prst="leftBrace">
            <a:avLst/>
          </a:prstGeom>
          <a:ln>
            <a:solidFill>
              <a:schemeClr val="bg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142090</xdr:rowOff>
    </xdr:from>
    <xdr:ext cx="40005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6941820" y="2649070"/>
              <a:ext cx="40005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1" i="1"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𝑩𝒓𝒖𝒕𝒂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𝑳𝒐𝒋𝒂𝒔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𝑭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í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𝒔𝒊𝒄𝒂𝒔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1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𝑫𝒊𝒈𝒊𝒕𝒂𝒍</m:t>
                    </m:r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CFBCB51C-858C-4D5A-A296-5CA5BA2BC83C}"/>
                </a:ext>
              </a:extLst>
            </xdr:cNvPr>
            <xdr:cNvSpPr txBox="1"/>
          </xdr:nvSpPr>
          <xdr:spPr>
            <a:xfrm>
              <a:off x="6941820" y="2649070"/>
              <a:ext cx="40005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𝑹𝒆𝒄𝒆𝒊𝒕𝒂 𝑩𝒓𝒖𝒕𝒂=</a:t>
              </a:r>
              <a:r>
                <a:rPr lang="pt-BR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𝑹𝒆𝒄𝒆𝒊𝒕𝒂 𝑳𝒐𝒋𝒂𝒔 𝑭í𝒔𝒊𝒄𝒂𝒔</a:t>
              </a:r>
              <a:r>
                <a:rPr lang="pt-BR" sz="1100" b="1" i="0">
                  <a:latin typeface="Cambria Math" panose="02040503050406030204" pitchFamily="18" charset="0"/>
                </a:rPr>
                <a:t>+</a:t>
              </a:r>
              <a:r>
                <a:rPr lang="pt-BR" sz="1100" b="1" i="0">
                  <a:solidFill>
                    <a:srgbClr val="FB05DE"/>
                  </a:solidFill>
                  <a:latin typeface="Cambria Math" panose="02040503050406030204" pitchFamily="18" charset="0"/>
                </a:rPr>
                <a:t>𝑹𝒆𝒄𝒆𝒊𝒕𝒂 𝑫𝒊𝒈𝒊𝒕𝒂𝒍</a:t>
              </a:r>
              <a:endParaRPr lang="pt-BR" sz="1100" b="1"/>
            </a:p>
          </xdr:txBody>
        </xdr:sp>
      </mc:Fallback>
    </mc:AlternateContent>
    <xdr:clientData/>
  </xdr:oneCellAnchor>
  <xdr:oneCellAnchor>
    <xdr:from>
      <xdr:col>1</xdr:col>
      <xdr:colOff>0</xdr:colOff>
      <xdr:row>4</xdr:row>
      <xdr:rowOff>6275</xdr:rowOff>
    </xdr:from>
    <xdr:ext cx="49541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6941820" y="3061895"/>
              <a:ext cx="49541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𝑳𝒐𝒋𝒂𝒔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𝑭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í</m:t>
                    </m:r>
                    <m:r>
                      <a:rPr lang="pt-BR" sz="1100" b="1" i="1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𝒔𝒊𝒄𝒂𝒔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.=</m:t>
                    </m:r>
                    <m:r>
                      <a:rPr lang="pt-BR" sz="1100" b="1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𝑳𝒐𝒋𝒂𝒔</m:t>
                    </m:r>
                    <m:r>
                      <a:rPr lang="pt-BR" sz="1100" b="1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𝑬𝒙𝒊𝒔𝒕𝒆𝒏𝒕𝒆𝒔</m:t>
                    </m:r>
                    <m:r>
                      <a:rPr lang="pt-BR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𝑹𝒆𝒄𝒆𝒊𝒕𝒂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𝑵𝒐𝒗𝒂𝒔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𝑳𝒐𝒋𝒂𝒔</m:t>
                    </m:r>
                    <m:r>
                      <a:rPr lang="pt-BR" sz="1100" b="1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E07D1D5C-4F70-4F1F-A8C1-18E2C9C01002}"/>
                </a:ext>
              </a:extLst>
            </xdr:cNvPr>
            <xdr:cNvSpPr txBox="1"/>
          </xdr:nvSpPr>
          <xdr:spPr>
            <a:xfrm>
              <a:off x="6941820" y="3061895"/>
              <a:ext cx="49541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1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𝑹𝒆𝒄𝒆𝒊𝒕𝒂 𝑳𝒐𝒋𝒂𝒔 𝑭í𝒔𝒊𝒄𝒂𝒔</a:t>
              </a:r>
              <a:r>
                <a:rPr lang="pt-BR" sz="1100" b="1" i="0">
                  <a:latin typeface="Cambria Math" panose="02040503050406030204" pitchFamily="18" charset="0"/>
                </a:rPr>
                <a:t>.=</a:t>
              </a:r>
              <a:r>
                <a:rPr lang="pt-BR" sz="1100" b="1" i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𝑹𝒆𝒄𝒆𝒊𝒕𝒂 𝑳𝒐𝒋𝒂𝒔 𝑬𝒙𝒊𝒔𝒕𝒆𝒏𝒕𝒆𝒔</a:t>
              </a:r>
              <a:r>
                <a:rPr lang="pt-BR" sz="1100" b="1" i="0">
                  <a:latin typeface="Cambria Math" panose="02040503050406030204" pitchFamily="18" charset="0"/>
                </a:rPr>
                <a:t>+</a:t>
              </a:r>
              <a:r>
                <a:rPr lang="pt-BR" sz="1100" b="1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𝑹𝒆𝒄𝒆𝒊𝒕𝒂 𝑵𝒐𝒗𝒂𝒔 𝑳𝒐𝒋𝒂𝒔 </a:t>
              </a:r>
              <a:endParaRPr lang="pt-BR" sz="1100" b="1"/>
            </a:p>
          </xdr:txBody>
        </xdr:sp>
      </mc:Fallback>
    </mc:AlternateContent>
    <xdr:clientData/>
  </xdr:oneCellAnchor>
  <xdr:oneCellAnchor>
    <xdr:from>
      <xdr:col>9</xdr:col>
      <xdr:colOff>60959</xdr:colOff>
      <xdr:row>7</xdr:row>
      <xdr:rowOff>165398</xdr:rowOff>
    </xdr:from>
    <xdr:ext cx="3474926" cy="1498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5547359" y="1453178"/>
              <a:ext cx="3474926" cy="1498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𝑅𝑒𝑐𝑒𝑖𝑡𝑎</m:t>
                    </m:r>
                    <m:r>
                      <a:rPr lang="pt-BR" sz="9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9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𝑁𝑜𝑣𝑎𝑠</m:t>
                    </m:r>
                    <m:r>
                      <a:rPr lang="pt-BR" sz="9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900" b="0" i="1">
                        <a:solidFill>
                          <a:schemeClr val="accent6"/>
                        </a:solidFill>
                        <a:latin typeface="Cambria Math" panose="02040503050406030204" pitchFamily="18" charset="0"/>
                      </a:rPr>
                      <m:t>𝐿𝑜𝑗𝑎𝑠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𝑛𝑜𝑣𝑎𝑠</m:t>
                        </m:r>
                      </m:sub>
                    </m:sSub>
                    <m:r>
                      <a:rPr lang="pt-BR" sz="9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𝐹𝑎𝑡𝑢𝑟𝑎𝑚𝑒𝑛𝑡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𝑝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/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𝑛𝑜𝑣𝑎𝑠</m:t>
                        </m:r>
                      </m:sub>
                    </m:sSub>
                  </m:oMath>
                </m:oMathPara>
              </a14:m>
              <a:endParaRPr lang="pt-BR" sz="9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31DDBBA9-58C5-40E8-8B1C-2BFE0D104EB6}"/>
                </a:ext>
              </a:extLst>
            </xdr:cNvPr>
            <xdr:cNvSpPr txBox="1"/>
          </xdr:nvSpPr>
          <xdr:spPr>
            <a:xfrm>
              <a:off x="5547359" y="1453178"/>
              <a:ext cx="3474926" cy="1498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𝑅𝑒𝑐𝑒𝑖𝑡𝑎 𝑁𝑜𝑣𝑎𝑠 𝐿𝑜𝑗𝑎𝑠</a:t>
              </a:r>
              <a:r>
                <a:rPr lang="pt-BR" sz="900" b="0" i="0">
                  <a:latin typeface="Cambria Math" panose="02040503050406030204" pitchFamily="18" charset="0"/>
                </a:rPr>
                <a:t>=𝑄_(𝑙𝑜𝑗𝑎𝑠 𝑛𝑜𝑣𝑎𝑠)∗𝐹𝑎𝑡𝑢𝑟𝑎𝑚𝑒𝑛𝑡〖𝑜 𝑝/ 𝑙𝑜𝑗𝑎〗_( 𝑙𝑜𝑗𝑎𝑠 𝑛𝑜𝑣𝑎𝑠)</a:t>
              </a:r>
              <a:endParaRPr lang="pt-BR" sz="900"/>
            </a:p>
          </xdr:txBody>
        </xdr:sp>
      </mc:Fallback>
    </mc:AlternateContent>
    <xdr:clientData/>
  </xdr:oneCellAnchor>
  <xdr:oneCellAnchor>
    <xdr:from>
      <xdr:col>9</xdr:col>
      <xdr:colOff>164503</xdr:colOff>
      <xdr:row>9</xdr:row>
      <xdr:rowOff>92336</xdr:rowOff>
    </xdr:from>
    <xdr:ext cx="3089115" cy="1595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5650903" y="1745876"/>
              <a:ext cx="3089115" cy="159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latin typeface="Cambria Math" panose="02040503050406030204" pitchFamily="18" charset="0"/>
                      </a:rPr>
                      <m:t>𝐹𝑎𝑡𝑢𝑟𝑎𝑚𝑒𝑛𝑡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𝑛𝑜𝑣𝑎𝑠</m:t>
                        </m:r>
                      </m:sub>
                    </m:sSub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𝑣𝑜𝑙𝑢𝑚𝑒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𝑣𝑒𝑛𝑑𝑖𝑑𝑜</m:t>
                        </m:r>
                        <m:d>
                          <m:d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9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e>
                        </m:d>
                      </m:e>
                    </m:d>
                    <m:r>
                      <a:rPr lang="pt-BR" sz="9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𝐸𝑠𝑡𝑜𝑞𝑢𝑒</m:t>
                    </m:r>
                  </m:oMath>
                </m:oMathPara>
              </a14:m>
              <a:endParaRPr lang="pt-BR" sz="9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1B8ED82E-6E67-4D17-9392-37AFB08EB125}"/>
                </a:ext>
              </a:extLst>
            </xdr:cNvPr>
            <xdr:cNvSpPr txBox="1"/>
          </xdr:nvSpPr>
          <xdr:spPr>
            <a:xfrm>
              <a:off x="5650903" y="1745876"/>
              <a:ext cx="3089115" cy="159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latin typeface="Cambria Math" panose="02040503050406030204" pitchFamily="18" charset="0"/>
                </a:rPr>
                <a:t>𝐹𝑎𝑡𝑢𝑟𝑎𝑚𝑒𝑛𝑡𝑜_(𝑙𝑜𝑗𝑎𝑠 𝑛𝑜𝑣𝑎𝑠)=𝐸(𝑣𝑜𝑙𝑢𝑚𝑒 𝑣𝑒𝑛𝑑𝑖𝑑𝑜(%))∗𝐸𝑠𝑡𝑜𝑞𝑢𝑒</a:t>
              </a:r>
              <a:endParaRPr lang="pt-BR" sz="900"/>
            </a:p>
          </xdr:txBody>
        </xdr:sp>
      </mc:Fallback>
    </mc:AlternateContent>
    <xdr:clientData/>
  </xdr:oneCellAnchor>
  <xdr:twoCellAnchor>
    <xdr:from>
      <xdr:col>4</xdr:col>
      <xdr:colOff>163158</xdr:colOff>
      <xdr:row>2</xdr:row>
      <xdr:rowOff>149711</xdr:rowOff>
    </xdr:from>
    <xdr:to>
      <xdr:col>5</xdr:col>
      <xdr:colOff>25998</xdr:colOff>
      <xdr:row>3</xdr:row>
      <xdr:rowOff>119231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H="1">
          <a:off x="8933778" y="2839571"/>
          <a:ext cx="47244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253701</xdr:colOff>
      <xdr:row>5</xdr:row>
      <xdr:rowOff>30480</xdr:rowOff>
    </xdr:from>
    <xdr:to>
      <xdr:col>8</xdr:col>
      <xdr:colOff>744071</xdr:colOff>
      <xdr:row>7</xdr:row>
      <xdr:rowOff>152400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11462721" y="3268980"/>
          <a:ext cx="490370" cy="4876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5</xdr:row>
      <xdr:rowOff>89647</xdr:rowOff>
    </xdr:from>
    <xdr:to>
      <xdr:col>4</xdr:col>
      <xdr:colOff>573742</xdr:colOff>
      <xdr:row>7</xdr:row>
      <xdr:rowOff>161365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H="1">
          <a:off x="7856220" y="3328147"/>
          <a:ext cx="1488142" cy="43747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269388</xdr:colOff>
      <xdr:row>8</xdr:row>
      <xdr:rowOff>47512</xdr:rowOff>
    </xdr:from>
    <xdr:ext cx="4060150" cy="1498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601608" y="3834652"/>
              <a:ext cx="4060150" cy="1498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𝑅𝑒𝑐𝑒𝑖𝑡𝑎</m:t>
                    </m:r>
                    <m:r>
                      <a:rPr lang="pt-BR" sz="900" b="0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900" b="0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𝐿𝑜𝑗𝑎𝑠</m:t>
                    </m:r>
                    <m:r>
                      <a:rPr lang="pt-BR" sz="900" b="0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900" b="0" i="1">
                        <a:solidFill>
                          <a:schemeClr val="accent1"/>
                        </a:solidFill>
                        <a:latin typeface="Cambria Math" panose="02040503050406030204" pitchFamily="18" charset="0"/>
                      </a:rPr>
                      <m:t>𝐸𝑥𝑖𝑠𝑡𝑒𝑛𝑡𝑒𝑠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𝑒𝑥𝑖𝑠𝑡𝑒𝑛𝑡𝑒𝑠</m:t>
                        </m:r>
                      </m:sub>
                    </m:sSub>
                    <m:r>
                      <a:rPr lang="pt-BR" sz="9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𝐹𝑎𝑡𝑢𝑟𝑎𝑚𝑒𝑛𝑡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𝑝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/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𝑒𝑥𝑖𝑠𝑡𝑒𝑛𝑡𝑒𝑠</m:t>
                        </m:r>
                      </m:sub>
                    </m:sSub>
                  </m:oMath>
                </m:oMathPara>
              </a14:m>
              <a:endParaRPr lang="pt-BR" sz="9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C7BC984-F818-4D8C-B56F-6A29745D39FF}"/>
                </a:ext>
              </a:extLst>
            </xdr:cNvPr>
            <xdr:cNvSpPr txBox="1"/>
          </xdr:nvSpPr>
          <xdr:spPr>
            <a:xfrm>
              <a:off x="6601608" y="3834652"/>
              <a:ext cx="4060150" cy="1498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𝑅𝑒𝑐𝑒𝑖𝑡𝑎 𝐿𝑜𝑗𝑎𝑠 𝐸𝑥𝑖𝑠𝑡𝑒𝑛𝑡𝑒𝑠</a:t>
              </a:r>
              <a:r>
                <a:rPr lang="pt-BR" sz="900" b="0" i="0">
                  <a:latin typeface="Cambria Math" panose="02040503050406030204" pitchFamily="18" charset="0"/>
                </a:rPr>
                <a:t>=𝑄_(𝑙𝑜𝑗𝑎𝑠 𝑒𝑥𝑖𝑠𝑡𝑒𝑛𝑡𝑒𝑠)∗𝐹𝑎𝑡𝑢𝑟𝑎𝑚𝑒𝑛𝑡〖𝑜 𝑝/ 𝑙𝑜𝑗𝑎〗_( 𝑙𝑜𝑗𝑎𝑠 𝑒𝑥𝑖𝑠𝑡𝑒𝑛𝑡𝑒𝑠)</a:t>
              </a:r>
              <a:endParaRPr lang="pt-BR" sz="900"/>
            </a:p>
          </xdr:txBody>
        </xdr:sp>
      </mc:Fallback>
    </mc:AlternateContent>
    <xdr:clientData/>
  </xdr:oneCellAnchor>
  <xdr:oneCellAnchor>
    <xdr:from>
      <xdr:col>0</xdr:col>
      <xdr:colOff>450028</xdr:colOff>
      <xdr:row>9</xdr:row>
      <xdr:rowOff>72166</xdr:rowOff>
    </xdr:from>
    <xdr:ext cx="3270704" cy="1595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6782248" y="4042186"/>
              <a:ext cx="3270704" cy="159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900" b="0" i="1">
                        <a:latin typeface="Cambria Math" panose="02040503050406030204" pitchFamily="18" charset="0"/>
                      </a:rPr>
                      <m:t>𝐹𝑎𝑡𝑢𝑟𝑎𝑚𝑒𝑛𝑡</m:t>
                    </m:r>
                    <m:sSub>
                      <m:sSub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𝑜</m:t>
                        </m:r>
                      </m:e>
                      <m:sub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𝑙𝑜𝑗𝑎𝑠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𝑒𝑥𝑖𝑠𝑡𝑒𝑛𝑡𝑒𝑠</m:t>
                        </m:r>
                      </m:sub>
                    </m:sSub>
                    <m:r>
                      <a:rPr lang="pt-BR" sz="9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𝐸</m:t>
                    </m:r>
                    <m:d>
                      <m:dPr>
                        <m:ctrlPr>
                          <a:rPr lang="pt-B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𝑣𝑜𝑙𝑢𝑚𝑒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900" b="0" i="1">
                            <a:latin typeface="Cambria Math" panose="02040503050406030204" pitchFamily="18" charset="0"/>
                          </a:rPr>
                          <m:t>𝑣𝑒𝑛𝑑𝑖𝑑𝑜</m:t>
                        </m:r>
                        <m:d>
                          <m:dPr>
                            <m:ctrlPr>
                              <a:rPr lang="pt-BR" sz="9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9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e>
                        </m:d>
                      </m:e>
                    </m:d>
                    <m:r>
                      <a:rPr lang="pt-BR" sz="9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900" b="0" i="1">
                        <a:latin typeface="Cambria Math" panose="02040503050406030204" pitchFamily="18" charset="0"/>
                      </a:rPr>
                      <m:t>𝐸𝑠𝑡𝑜𝑞𝑢𝑒</m:t>
                    </m:r>
                  </m:oMath>
                </m:oMathPara>
              </a14:m>
              <a:endParaRPr lang="pt-BR" sz="9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785F3F3-B6E5-44A3-A7FF-3E089BA679E0}"/>
                </a:ext>
              </a:extLst>
            </xdr:cNvPr>
            <xdr:cNvSpPr txBox="1"/>
          </xdr:nvSpPr>
          <xdr:spPr>
            <a:xfrm>
              <a:off x="6782248" y="4042186"/>
              <a:ext cx="3270704" cy="159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900" b="0" i="0">
                  <a:latin typeface="Cambria Math" panose="02040503050406030204" pitchFamily="18" charset="0"/>
                </a:rPr>
                <a:t>𝐹𝑎𝑡𝑢𝑟𝑎𝑚𝑒𝑛𝑡𝑜_(𝑙𝑜𝑗𝑎𝑠 𝑒𝑥𝑖𝑠𝑡𝑒𝑛𝑡𝑒𝑠)=𝐸(𝑣𝑜𝑙𝑢𝑚𝑒 𝑣𝑒𝑛𝑑𝑖𝑑𝑜(%))∗𝐸𝑠𝑡𝑜𝑞𝑢𝑒</a:t>
              </a:r>
              <a:endParaRPr lang="pt-BR" sz="900"/>
            </a:p>
          </xdr:txBody>
        </xdr:sp>
      </mc:Fallback>
    </mc:AlternateContent>
    <xdr:clientData/>
  </xdr:oneCellAnchor>
  <xdr:oneCellAnchor>
    <xdr:from>
      <xdr:col>9</xdr:col>
      <xdr:colOff>378758</xdr:colOff>
      <xdr:row>4</xdr:row>
      <xdr:rowOff>1793</xdr:rowOff>
    </xdr:from>
    <xdr:ext cx="2795188" cy="1858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5865158" y="740933"/>
              <a:ext cx="2795188" cy="1858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𝑅𝑒𝑐𝑒𝑖𝑡𝑎</m:t>
                    </m:r>
                    <m:r>
                      <a:rPr lang="pt-BR" sz="1100" b="0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pt-BR" sz="1100" b="0" i="1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𝐷𝑖𝑔𝑖𝑡𝑎</m:t>
                    </m:r>
                    <m:r>
                      <m:rPr>
                        <m:sty m:val="p"/>
                      </m:rPr>
                      <a:rPr lang="pt-BR" sz="1100" b="0" i="0">
                        <a:solidFill>
                          <a:srgbClr val="FB05DE"/>
                        </a:solidFill>
                        <a:latin typeface="Cambria Math" panose="02040503050406030204" pitchFamily="18" charset="0"/>
                      </a:rPr>
                      <m:t>l</m:t>
                    </m:r>
                    <m:r>
                      <a:rPr lang="pt-BR" sz="1100" b="0" i="0">
                        <a:latin typeface="Cambria Math" panose="02040503050406030204" pitchFamily="18" charset="0"/>
                      </a:rPr>
                      <m:t>= </m:t>
                    </m:r>
                    <m:r>
                      <m:rPr>
                        <m:nor/>
                      </m:rPr>
                      <a:rPr lang="pt-BR"/>
                      <m:t>35,6%</m:t>
                    </m:r>
                    <m:r>
                      <a:rPr lang="pt-BR" b="0" i="0">
                        <a:latin typeface="Cambria Math" panose="02040503050406030204" pitchFamily="18" charset="0"/>
                      </a:rPr>
                      <m:t>∗</m:t>
                    </m:r>
                    <m:r>
                      <m:rPr>
                        <m:sty m:val="p"/>
                      </m:rPr>
                      <a:rPr lang="pt-BR" b="0" i="0">
                        <a:latin typeface="Cambria Math" panose="02040503050406030204" pitchFamily="18" charset="0"/>
                      </a:rPr>
                      <m:t>Receita</m:t>
                    </m:r>
                    <m:r>
                      <a:rPr lang="pt-BR" b="0" i="0"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pt-BR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b="0" i="0">
                            <a:latin typeface="Cambria Math" panose="02040503050406030204" pitchFamily="18" charset="0"/>
                          </a:rPr>
                          <m:t>Bruta</m:t>
                        </m:r>
                      </m:e>
                      <m:sub>
                        <m:r>
                          <a:rPr lang="pt-BR" b="0" i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m:rPr>
                            <m:sty m:val="p"/>
                          </m:rPr>
                          <a:rPr lang="pt-BR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a:rPr lang="pt-BR" b="0" i="0">
                            <a:latin typeface="Cambria Math" panose="02040503050406030204" pitchFamily="18" charset="0"/>
                          </a:rPr>
                          <m:t>−1)</m:t>
                        </m:r>
                      </m:sub>
                    </m:sSub>
                    <m:r>
                      <a:rPr lang="pt-BR" sz="1100" b="0" i="0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3F1ED896-0CF4-405F-9406-B0C9400EC3F1}"/>
                </a:ext>
              </a:extLst>
            </xdr:cNvPr>
            <xdr:cNvSpPr txBox="1"/>
          </xdr:nvSpPr>
          <xdr:spPr>
            <a:xfrm>
              <a:off x="5865158" y="740933"/>
              <a:ext cx="2795188" cy="1858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rgbClr val="FB05DE"/>
                  </a:solidFill>
                  <a:latin typeface="Cambria Math" panose="02040503050406030204" pitchFamily="18" charset="0"/>
                </a:rPr>
                <a:t>𝑅𝑒𝑐𝑒𝑖𝑡𝑎 𝐷𝑖𝑔𝑖𝑡𝑎l</a:t>
              </a:r>
              <a:r>
                <a:rPr lang="pt-BR" sz="1100" b="0" i="0">
                  <a:latin typeface="Cambria Math" panose="02040503050406030204" pitchFamily="18" charset="0"/>
                </a:rPr>
                <a:t>= "</a:t>
              </a:r>
              <a:r>
                <a:rPr lang="pt-BR" i="0">
                  <a:latin typeface="Cambria Math" panose="02040503050406030204" pitchFamily="18" charset="0"/>
                </a:rPr>
                <a:t>35,6%</a:t>
              </a:r>
              <a:r>
                <a:rPr lang="pt-BR" b="0" i="0">
                  <a:latin typeface="Cambria Math" panose="02040503050406030204" pitchFamily="18" charset="0"/>
                </a:rPr>
                <a:t>"∗Receita Bruta_((t−1))</a:t>
              </a:r>
              <a:r>
                <a:rPr lang="pt-BR" sz="1100" b="0" i="0">
                  <a:latin typeface="Cambria Math" panose="02040503050406030204" pitchFamily="18" charset="0"/>
                </a:rPr>
                <a:t>  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4</xdr:col>
      <xdr:colOff>26894</xdr:colOff>
      <xdr:row>12</xdr:row>
      <xdr:rowOff>182880</xdr:rowOff>
    </xdr:from>
    <xdr:ext cx="4311630" cy="2119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8797514" y="4701540"/>
              <a:ext cx="4311630" cy="2119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𝐸</m:t>
                    </m:r>
                    <m:sSub>
                      <m:sSub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pt-B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𝑣𝑜𝑙𝑢𝑚𝑒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𝑣𝑒𝑛𝑑𝑖𝑑𝑜</m:t>
                            </m:r>
                            <m:d>
                              <m:dPr>
                                <m:ctrlPr>
                                  <a:rPr lang="pt-BR" sz="10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0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</m:d>
                          </m:e>
                        </m:d>
                      </m:e>
                      <m:sub>
                        <m:d>
                          <m:dPr>
                            <m:ctrlPr>
                              <a:rPr lang="pt-BR" sz="10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𝑙𝑜𝑗𝑎𝑠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a:rPr lang="pt-BR" sz="1000" b="0" i="1">
                                <a:latin typeface="Cambria Math" panose="02040503050406030204" pitchFamily="18" charset="0"/>
                              </a:rPr>
                              <m:t>𝑠𝑖𝑐𝑎𝑠</m:t>
                            </m:r>
                          </m:e>
                        </m:d>
                      </m:sub>
                    </m:sSub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1+∆%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Á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𝑟𝑒𝑎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𝑇𝑜𝑡𝑎𝑙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+∆%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𝑇𝑜𝑡𝑎𝑙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𝑙𝑜𝑗𝑎𝑠</m:t>
                        </m:r>
                      </m:e>
                    </m:d>
                  </m:oMath>
                </m:oMathPara>
              </a14:m>
              <a:endParaRPr lang="pt-BR" sz="10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7282D3DA-FF74-45F1-822C-7A77889E7820}"/>
                </a:ext>
              </a:extLst>
            </xdr:cNvPr>
            <xdr:cNvSpPr txBox="1"/>
          </xdr:nvSpPr>
          <xdr:spPr>
            <a:xfrm>
              <a:off x="8797514" y="4701540"/>
              <a:ext cx="4311630" cy="2119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000" b="0" i="0">
                  <a:latin typeface="Cambria Math" panose="02040503050406030204" pitchFamily="18" charset="0"/>
                </a:rPr>
                <a:t>𝐸(𝑣𝑜𝑙𝑢𝑚𝑒 𝑣𝑒𝑛𝑑𝑖𝑑𝑜(%))_((𝑙𝑜𝑗𝑎𝑠 𝑓í𝑠𝑖𝑐𝑎𝑠) )=(1+</a:t>
              </a:r>
              <a:r>
                <a:rPr lang="pt-BR" sz="1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∆%Á𝑟𝑒𝑎 𝑇𝑜𝑡𝑎𝑙+∆%𝑇𝑜𝑡𝑎𝑙 𝑙𝑜𝑗𝑎𝑠)</a:t>
              </a:r>
              <a:endParaRPr lang="pt-BR" sz="1000"/>
            </a:p>
          </xdr:txBody>
        </xdr:sp>
      </mc:Fallback>
    </mc:AlternateContent>
    <xdr:clientData/>
  </xdr:oneCellAnchor>
  <xdr:twoCellAnchor>
    <xdr:from>
      <xdr:col>7</xdr:col>
      <xdr:colOff>342900</xdr:colOff>
      <xdr:row>2</xdr:row>
      <xdr:rowOff>45324</xdr:rowOff>
    </xdr:from>
    <xdr:to>
      <xdr:col>9</xdr:col>
      <xdr:colOff>411480</xdr:colOff>
      <xdr:row>3</xdr:row>
      <xdr:rowOff>144780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>
          <a:cxnSpLocks/>
          <a:stCxn id="2" idx="3"/>
        </xdr:cNvCxnSpPr>
      </xdr:nvCxnSpPr>
      <xdr:spPr>
        <a:xfrm>
          <a:off x="4610100" y="418704"/>
          <a:ext cx="1287780" cy="28233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ÃO ALONSO CASELLA" id="{F256E0F3-5BCB-4640-880C-1C78A2F82517}" userId="46b56f6a29d33616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3">
  <rv s="0">
    <v>https://www.bing.com/financeapi/forcetrigger?t=bpryr7&amp;q=BVMF%3aSBFG3&amp;form=skydnc</v>
    <v>Learn more on Bing</v>
  </rv>
  <rv s="1">
    <v>pt-BR</v>
    <v>bpryr7</v>
    <v>268435456</v>
    <v>1</v>
    <v>Da plataforma Refinitiv</v>
    <v>0</v>
    <v>1</v>
    <v>GRUPO SBF S.A. (BVMF:SBFG3)</v>
    <v>3</v>
    <v>4</v>
    <v>Finance</v>
    <v>5</v>
    <v>21.87</v>
    <v>6.28</v>
    <v>BVMF</v>
    <v>243689000</v>
    <v>6.81</v>
    <v>2011</v>
    <v>6.6</v>
    <v>1.6433</v>
    <v>B3 - Brazil Stock Exchange</v>
    <v>1591289000</v>
    <v>O Grupo SBF SA é uma empresa sediada no Brasil que atua no setor de vestuário e vestuário. A empresa é especializada no varejo de roupas através de uma rede de lojas, bem como através do seu site na Internet. A Companhia oferece diferentes tipos de produtos dividindo-os em: esportes, homens, mulheres, crianças, calçados, acessórios, equipamentos e suplementos, entre outros. A Companhia também oferece seus produtos outlet, em uma seção especial onde oferece produtos antigos com desconto no preço. É vendido em mais de 180 lojas em regiões como Espírito Santo, São Paulo, Amazonas e Rio de Janeiro, dentro do território brasileiro. Também opera um serviço de personal trainer on-line chamado Bora.</v>
    <v>BVMF</v>
    <v>6.82</v>
    <v>8196</v>
    <v>45201.825868055559</v>
    <v>0</v>
    <v>2844030</v>
    <v>BRL</v>
    <v>GRUPO SBF S.A.</v>
    <v>GRUPO SBF S.A.</v>
    <v>6.78</v>
    <v>6.79</v>
    <v>Av Dra Ruth Cardoso 7221 Andar Ed Birman 3, Pinheiros, PINHEIROS, SAO PAULO, 05.425-902 BR</v>
    <v>Specialty Retailers</v>
    <v>SBFG3</v>
    <v>Ações</v>
    <v>GRUPO SBF S.A. (BVMF:SBFG3)</v>
    <v>-0.03</v>
    <v>-4.3990000000000001E-3</v>
    <v>1465400</v>
  </rv>
  <rv s="2">
    <v>1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CanonicalPropertyNames" t="spb"/>
    <k n="_Display" t="spb"/>
    <k n="_DisplayString" t="s"/>
    <k n="_Flags" t="spb"/>
    <k n="_Format" t="spb"/>
    <k n="_Icon" t="s"/>
    <k n="_SubLabel" t="spb"/>
    <k n="52 semanas de alta"/>
    <k n="52 semanas de baixa"/>
    <k n="Abreviatura do câmbio" t="s"/>
    <k n="Ações em circulação"/>
    <k n="Alto"/>
    <k n="Ano de incorporação"/>
    <k n="Baixo"/>
    <k n="Beta"/>
    <k n="Bolsa" t="s"/>
    <k n="Capitalização de mercado"/>
    <k n="Descrição" t="s"/>
    <k n="ExchangeID" t="s"/>
    <k n="Fechamento anterior"/>
    <k n="Funcionários"/>
    <k n="Hora da última transação"/>
    <k n="LearnMoreOnLink" t="r"/>
    <k n="Média de volume"/>
    <k n="Moeda" t="s"/>
    <k n="Nome" t="s"/>
    <k n="Nome oficial" t="s"/>
    <k n="Pendência"/>
    <k n="Preço"/>
    <k n="Sede" t="s"/>
    <k n="Setor" t="s"/>
    <k n="Símbolo do ticker" t="s"/>
    <k n="Tipo de instrumento" t="s"/>
    <k n="UniqueName" t="s"/>
    <k n="Variação"/>
    <k n="Variação (%)"/>
    <k n="Volum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42">
      <v t="s">%EntityServiceId</v>
      <v t="s">_Format</v>
      <v t="s">%IsRefreshable</v>
      <v t="s">_CanonicalPropertyNames</v>
      <v t="s">%EntityCulture</v>
      <v t="s">%EntityId</v>
      <v t="s">_Icon</v>
      <v t="s">_Display</v>
      <v t="s">Nome</v>
      <v t="s">_SubLabel</v>
      <v t="s">Preço</v>
      <v t="s">Bolsa</v>
      <v t="s">Nome oficial</v>
      <v t="s">Hora da última transação</v>
      <v t="s">Símbolo do ticker</v>
      <v t="s">Abreviatura do câmbio</v>
      <v t="s">Variação</v>
      <v t="s">Variação (%)</v>
      <v t="s">Moeda</v>
      <v t="s">Fechamento anterior</v>
      <v t="s">Pendência</v>
      <v t="s">Alto</v>
      <v t="s">Baixo</v>
      <v t="s">52 semanas de alta</v>
      <v t="s">52 semanas de baixa</v>
      <v t="s">Volume</v>
      <v t="s">Média de volume</v>
      <v t="s">Capitalização de mercado</v>
      <v t="s">Beta</v>
      <v t="s">Ações em circulação</v>
      <v t="s">Descrição</v>
      <v t="s">Funcionários</v>
      <v t="s">Sede</v>
      <v t="s">Setor</v>
      <v t="s">Tipo de instrumento</v>
      <v t="s">Ano de incorporação</v>
      <v t="s">_Flags</v>
      <v t="s">UniqueName</v>
      <v t="s">_DisplayString</v>
      <v t="s">LearnMoreOnLink</v>
      <v t="s">ExchangeID</v>
      <v t="s">%ProviderInfo</v>
    </a>
  </spbArrays>
  <spbData count="6">
    <spb s="0">
      <v>High</v>
      <v>Beta</v>
      <v>Name</v>
      <v>Headquarters</v>
      <v>Low</v>
      <v>Exchange</v>
      <v>Currency</v>
      <v>Price</v>
      <v>Industry</v>
      <v>Volume</v>
      <v>Change</v>
      <v>Description</v>
      <v>Open</v>
      <v>ExchangeID</v>
      <v>UniqueName</v>
      <v>Employees</v>
      <v>Official name</v>
      <v>Change (%)</v>
      <v>%ProviderInfo</v>
      <v>LearnMoreOnLink</v>
      <v>Volume average</v>
      <v>Ticker symbol</v>
      <v>52 week high</v>
      <v>52 week low</v>
      <v>Year incorporated</v>
      <v>Shares outstanding</v>
      <v>Previous close</v>
      <v>Instrument type</v>
      <v>Exchange abbreviation</v>
      <v>Market cap</v>
      <v>Last trade time</v>
    </spb>
    <spb s="1">
      <v>0</v>
      <v>Name</v>
      <v>LearnMoreOnLink</v>
    </spb>
    <spb s="2">
      <v>0</v>
      <v>0</v>
      <v>0</v>
    </spb>
    <spb s="3">
      <v>2</v>
      <v>2</v>
      <v>2</v>
      <v>2</v>
    </spb>
    <spb s="4">
      <v>1</v>
      <v>2</v>
      <v>3</v>
      <v>1</v>
      <v>1</v>
      <v>4</v>
      <v>1</v>
      <v>1</v>
      <v>4</v>
      <v>5</v>
      <v>4</v>
      <v>6</v>
      <v>1</v>
      <v>1</v>
      <v>7</v>
      <v>4</v>
      <v>1</v>
      <v>8</v>
      <v>9</v>
    </spb>
    <spb s="5">
      <v>Atraso de 30 minutos</v>
      <v xml:space="preserve">do fechamento anterior </v>
      <v xml:space="preserve">do fechamento anterior </v>
      <v>GMT</v>
    </spb>
  </spbData>
</supportingPropertyBags>
</file>

<file path=xl/richData/rdsupportingpropertybagstructure.xml><?xml version="1.0" encoding="utf-8"?>
<spbStructures xmlns="http://schemas.microsoft.com/office/spreadsheetml/2017/richdata2" count="6">
  <s>
    <k n="Alto" t="s"/>
    <k n="Beta" t="s"/>
    <k n="Nome" t="s"/>
    <k n="Sede" t="s"/>
    <k n="Baixo" t="s"/>
    <k n="Bolsa" t="s"/>
    <k n="Moeda" t="s"/>
    <k n="Preço" t="s"/>
    <k n="Setor" t="s"/>
    <k n="Volume" t="s"/>
    <k n="Variação" t="s"/>
    <k n="Descrição" t="s"/>
    <k n="Pendência" t="s"/>
    <k n="ExchangeID" t="s"/>
    <k n="UniqueName" t="s"/>
    <k n="Funcionários" t="s"/>
    <k n="Nome oficial" t="s"/>
    <k n="Variação (%)" t="s"/>
    <k n="%ProviderInfo" t="s"/>
    <k n="LearnMoreOnLink" t="s"/>
    <k n="Média de volume" t="s"/>
    <k n="Símbolo do ticker" t="s"/>
    <k n="52 semanas de alta" t="s"/>
    <k n="52 semanas de baixa" t="s"/>
    <k n="Ano de incorporação" t="s"/>
    <k n="Ações em circulação" t="s"/>
    <k n="Fechamento anterior" t="s"/>
    <k n="Tipo de instrumento" t="s"/>
    <k n="Abreviatura do câmbio" t="s"/>
    <k n="Capitalização de mercado" t="s"/>
    <k n="Hora da última transação" t="s"/>
  </s>
  <s>
    <k n="^Order" t="spba"/>
    <k n="TitleProperty" t="s"/>
    <k n="SubTitleProperty" t="s"/>
  </s>
  <s>
    <k n="ShowInCardView" t="b"/>
    <k n="ShowInDotNotation" t="b"/>
    <k n="ShowInAutoComplete" t="b"/>
  </s>
  <s>
    <k n="ExchangeID" t="spb"/>
    <k n="UniqueName" t="spb"/>
    <k n="`%ProviderInfo" t="spb"/>
    <k n="LearnMoreOnLink" t="spb"/>
  </s>
  <s>
    <k n="Alto" t="i"/>
    <k n="Beta" t="i"/>
    <k n="Nome" t="i"/>
    <k n="Baixo" t="i"/>
    <k n="Preço" t="i"/>
    <k n="Volume" t="i"/>
    <k n="Variação" t="i"/>
    <k n="Pendência" t="i"/>
    <k n="Funcionários" t="i"/>
    <k n="Variação (%)" t="i"/>
    <k n="Média de volume" t="i"/>
    <k n="`%EntityServiceId" t="i"/>
    <k n="52 semanas de alta" t="i"/>
    <k n="52 semanas de baixa" t="i"/>
    <k n="Ano de incorporação" t="i"/>
    <k n="Ações em circulação" t="i"/>
    <k n="Fechamento anterior" t="i"/>
    <k n="Capitalização de mercado" t="i"/>
    <k n="Hora da última transação" t="i"/>
  </s>
  <s>
    <k n="Preço" t="s"/>
    <k n="Variação" t="s"/>
    <k n="Variação (%)" t="s"/>
    <k n="Hora da última transação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2" formatCode="0.00"/>
    </x:dxf>
    <x:dxf>
      <x:numFmt numFmtId="0" formatCode="General"/>
    </x:dxf>
    <x:dxf>
      <x:numFmt numFmtId="27" formatCode="dd/mm/yyyy\ hh:mm"/>
    </x:dxf>
    <x:dxf>
      <x:numFmt numFmtId="14" formatCode="0.00%"/>
    </x:dxf>
    <x:dxf>
      <x:numFmt numFmtId="3" formatCode="#,##0"/>
    </x:dxf>
    <x:dxf>
      <x:numFmt numFmtId="1" formatCode="0"/>
    </x:dxf>
    <x:dxf>
      <x:numFmt numFmtId="4" formatCode="#,##0.00"/>
    </x:dxf>
  </dxfs>
  <richProperties>
    <rPr n="NumberFormat" t="s"/>
    <rPr n="IsTitleField" t="b"/>
  </richProperties>
  <richStyles>
    <rSty dxfid="1">
      <rpv i="0">_-[$R$-pt-BR] * #,##0.00_-;-[$R$-pt-BR] * #,##0.00_-;_-[$R$-pt-BR] * "-"??_-;_-@_-</rpv>
    </rSty>
    <rSty dxfid="6">
      <rpv i="0">#,##0.00</rpv>
    </rSty>
    <rSty>
      <rpv i="1">1</rpv>
    </rSty>
    <rSty dxfid="4">
      <rpv i="0">#,##0</rpv>
    </rSty>
    <rSty dxfid="3"/>
    <rSty dxfid="0">
      <rpv i="0">0.00</rpv>
    </rSty>
    <rSty dxfid="5">
      <rpv i="0">0</rpv>
    </rSty>
    <rSty dxfid="1">
      <rpv i="0">_-[$R$-pt-BR] * #,##0_-;-[$R$-pt-BR] * #,##0_-;_-[$R$-pt-BR] * "-"_-;_-@_-</rpv>
    </rSty>
    <rSty dxfid="2"/>
  </richStyles>
</richStyleShee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85" dT="2022-05-26T20:03:29.89" personId="{F256E0F3-5BCB-4640-880C-1C78A2F82517}" id="{C4F656F5-5A79-4C31-85A5-C17E88D01559}">
    <text>https://cienciaenegocios.com/o-que-e-ciclo-operacional-e-ciclo-de-caixa/</text>
  </threadedComment>
  <threadedComment ref="B96" dT="2022-05-26T20:06:12.07" personId="{F256E0F3-5BCB-4640-880C-1C78A2F82517}" id="{39D86803-AFDE-4D40-A7B6-698CA5E161F8}">
    <text>https://acsp.com.br/publicacao/s/antecipacao-de-recebiveis-como-funciona-essa-modalidade-de-credito</text>
  </threadedComment>
  <threadedComment ref="B116" dT="2022-05-26T20:18:59.57" personId="{F256E0F3-5BCB-4640-880C-1C78A2F82517}" id="{29C61E57-BB19-4992-ABC4-D7B7E3A1C105}">
    <text>Do PC: Empréstimos +Derivativos +  Financiamentos + Fornecedores + Debêntures + Parcelamentos tributários + Arrendamentos</text>
  </threadedComment>
  <threadedComment ref="B118" dT="2022-05-26T20:19:32.79" personId="{F256E0F3-5BCB-4640-880C-1C78A2F82517}" id="{C19FAD78-4BCC-454A-B48F-A7E95E10E7EE}">
    <text>Do PNC: Empréstimos + Derivativos + Financiamentos +Fornecedores + Debêntures + Parcelamentos tributários + Arrendamentos</text>
  </threadedComment>
  <threadedComment ref="C187" dT="2022-05-27T15:55:17.64" personId="{F256E0F3-5BCB-4640-880C-1C78A2F82517}" id="{F545C705-780A-4C9D-8EC6-DE80B1BA59DB}">
    <text>Premissado.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urufocus.com/term/wacc/BSP:SBFG3/WACC-Percentage/Grupo%20SBF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19A2A-4BAA-4C45-9B9A-23BCF8616050}">
  <sheetPr codeName="Planilha4">
    <tabColor theme="5" tint="0.79998168889431442"/>
  </sheetPr>
  <dimension ref="A1:Z188"/>
  <sheetViews>
    <sheetView showGridLines="0" zoomScale="55" zoomScaleNormal="55" workbookViewId="0">
      <selection activeCell="N5" sqref="N5"/>
    </sheetView>
  </sheetViews>
  <sheetFormatPr defaultRowHeight="14.4" outlineLevelRow="1" outlineLevelCol="1" x14ac:dyDescent="0.3"/>
  <cols>
    <col min="2" max="2" width="44.109375" customWidth="1"/>
    <col min="3" max="3" width="8.88671875" hidden="1" customWidth="1" outlineLevel="1"/>
    <col min="4" max="5" width="9.77734375" hidden="1" customWidth="1" outlineLevel="1"/>
    <col min="6" max="6" width="9.44140625" hidden="1" customWidth="1" outlineLevel="1"/>
    <col min="7" max="7" width="11.21875" hidden="1" customWidth="1" outlineLevel="1"/>
    <col min="8" max="8" width="10.5546875" hidden="1" customWidth="1" outlineLevel="1"/>
    <col min="9" max="9" width="14.44140625" style="49" customWidth="1" collapsed="1"/>
    <col min="10" max="10" width="4.44140625" customWidth="1"/>
    <col min="11" max="11" width="11.21875" customWidth="1"/>
    <col min="12" max="12" width="12.21875" customWidth="1"/>
    <col min="13" max="13" width="18.88671875" bestFit="1" customWidth="1"/>
    <col min="14" max="14" width="27.88671875" bestFit="1" customWidth="1"/>
    <col min="15" max="15" width="22.33203125" bestFit="1" customWidth="1"/>
    <col min="16" max="16" width="26" bestFit="1" customWidth="1"/>
    <col min="17" max="22" width="24.33203125" bestFit="1" customWidth="1"/>
    <col min="23" max="23" width="12.109375" customWidth="1"/>
    <col min="24" max="24" width="36.21875" customWidth="1"/>
    <col min="25" max="25" width="33.109375" customWidth="1"/>
    <col min="26" max="26" width="12.44140625" customWidth="1"/>
  </cols>
  <sheetData>
    <row r="1" spans="1:26" ht="7.8" customHeight="1" thickBot="1" x14ac:dyDescent="0.35">
      <c r="A1" t="e" vm="1">
        <v>#VALUE!</v>
      </c>
      <c r="D1" s="44" t="s">
        <v>217</v>
      </c>
    </row>
    <row r="2" spans="1:26" s="20" customFormat="1" ht="15" thickBot="1" x14ac:dyDescent="0.35">
      <c r="B2" s="45" t="s">
        <v>203</v>
      </c>
      <c r="C2" s="46">
        <v>2018</v>
      </c>
      <c r="D2" s="46">
        <v>2019</v>
      </c>
      <c r="E2" s="46">
        <v>2020</v>
      </c>
      <c r="F2" s="46">
        <v>2021</v>
      </c>
      <c r="G2" s="46" t="s">
        <v>201</v>
      </c>
      <c r="H2" s="46" t="s">
        <v>202</v>
      </c>
      <c r="I2" s="47" t="s">
        <v>229</v>
      </c>
      <c r="J2" s="46"/>
      <c r="L2" s="37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6"/>
    </row>
    <row r="3" spans="1:26" ht="24" thickBot="1" x14ac:dyDescent="0.35">
      <c r="B3" s="266" t="s">
        <v>208</v>
      </c>
      <c r="C3" s="267"/>
      <c r="D3" s="267"/>
      <c r="E3" s="267"/>
      <c r="F3" s="267"/>
      <c r="G3" s="267"/>
      <c r="H3" s="267"/>
      <c r="I3" s="267"/>
      <c r="J3" s="268"/>
      <c r="L3" s="28"/>
      <c r="M3" s="29"/>
      <c r="N3" s="29"/>
      <c r="O3" s="29"/>
      <c r="P3" s="29"/>
      <c r="Q3" s="29"/>
      <c r="R3" s="29"/>
      <c r="S3" s="245" t="s">
        <v>233</v>
      </c>
      <c r="T3" s="246">
        <f>VALUATION!C176</f>
        <v>11115408.699271411</v>
      </c>
      <c r="U3" s="29"/>
      <c r="V3" s="29"/>
      <c r="W3" s="29"/>
      <c r="X3" s="29"/>
      <c r="Y3" s="29"/>
      <c r="Z3" s="30"/>
    </row>
    <row r="4" spans="1:26" ht="24" thickBot="1" x14ac:dyDescent="0.35">
      <c r="B4" s="50" t="s">
        <v>154</v>
      </c>
      <c r="C4" s="39">
        <f>(VALUATION!D4-VALUATION!C4)/VALUATION!C4</f>
        <v>2.3364634925009124E-2</v>
      </c>
      <c r="D4" s="39">
        <f>(VALUATION!E4-VALUATION!D4)/VALUATION!D4</f>
        <v>0.11519505129213228</v>
      </c>
      <c r="E4" s="39">
        <f>(VALUATION!F4-VALUATION!E4)/VALUATION!E4</f>
        <v>0.1250145038520856</v>
      </c>
      <c r="F4" s="39">
        <f>(VALUATION!G4-VALUATION!F4)/VALUATION!F4</f>
        <v>6.5799030282962259E-2</v>
      </c>
      <c r="G4" s="51">
        <f t="shared" ref="G4:G9" si="0">AVERAGE(C4:F4)</f>
        <v>8.2343305088047311E-2</v>
      </c>
      <c r="H4" s="51">
        <f t="shared" ref="H4:H9" si="1">MEDIAN(C4:F4)</f>
        <v>9.0497040787547278E-2</v>
      </c>
      <c r="I4" s="24">
        <v>0.12</v>
      </c>
      <c r="J4" s="30"/>
      <c r="L4" s="28"/>
      <c r="M4" s="29"/>
      <c r="N4" s="29"/>
      <c r="O4" s="29"/>
      <c r="P4" s="29"/>
      <c r="Q4" s="29"/>
      <c r="R4" s="29"/>
      <c r="S4" s="247"/>
      <c r="T4" s="247"/>
      <c r="U4" s="29"/>
      <c r="V4" s="29"/>
      <c r="W4" s="29"/>
      <c r="X4" s="29"/>
      <c r="Y4" s="29"/>
      <c r="Z4" s="30"/>
    </row>
    <row r="5" spans="1:26" ht="31.8" thickBot="1" x14ac:dyDescent="0.35">
      <c r="B5" s="50" t="s">
        <v>155</v>
      </c>
      <c r="C5" s="39">
        <f>(VALUATION!D5-VALUATION!C5)/VALUATION!C5</f>
        <v>-6.5852632226578819E-2</v>
      </c>
      <c r="D5" s="39">
        <f>(VALUATION!E5-VALUATION!D5)/VALUATION!D5</f>
        <v>-5.7485886669959754E-2</v>
      </c>
      <c r="E5" s="39">
        <f>(VALUATION!F5-VALUATION!E5)/VALUATION!E5</f>
        <v>-0.14604401234093028</v>
      </c>
      <c r="F5" s="39">
        <f>(VALUATION!G5-VALUATION!F5)/VALUATION!F5</f>
        <v>-0.1802408142092079</v>
      </c>
      <c r="G5" s="51">
        <f t="shared" si="0"/>
        <v>-0.11240583636166919</v>
      </c>
      <c r="H5" s="51">
        <f t="shared" si="1"/>
        <v>-0.10594832228375456</v>
      </c>
      <c r="I5" s="24">
        <v>-0.09</v>
      </c>
      <c r="J5" s="30"/>
      <c r="L5" s="28"/>
      <c r="M5" s="29"/>
      <c r="N5" s="29"/>
      <c r="O5" s="29"/>
      <c r="P5" s="29"/>
      <c r="Q5" s="29"/>
      <c r="R5" s="29"/>
      <c r="S5" s="245" t="s">
        <v>234</v>
      </c>
      <c r="T5" s="248">
        <f>VALUATION!C180</f>
        <v>5.7176865513321138</v>
      </c>
      <c r="U5" s="29"/>
      <c r="V5" s="29"/>
      <c r="W5" s="29"/>
      <c r="X5" s="243" t="s">
        <v>244</v>
      </c>
      <c r="Y5" s="244" t="str" cm="1">
        <f t="array" ref="Y5">IF($T$13&gt;_FV(A1,"Preço"),"BUY",IF($T$13&lt;_FV(A1,"Preço"),"SELL","HOLD"))</f>
        <v>BUY</v>
      </c>
      <c r="Z5" s="30"/>
    </row>
    <row r="6" spans="1:26" ht="24" thickBot="1" x14ac:dyDescent="0.35">
      <c r="B6" s="50" t="s">
        <v>156</v>
      </c>
      <c r="C6" s="39">
        <f>(VALUATION!D6-VALUATION!C6)/VALUATION!C6</f>
        <v>5.9279500034538026</v>
      </c>
      <c r="D6" s="39">
        <f>(VALUATION!E6-VALUATION!D6)/VALUATION!D6</f>
        <v>1.6561698577084849</v>
      </c>
      <c r="E6" s="39">
        <f>(VALUATION!F6-VALUATION!E6)/VALUATION!E6</f>
        <v>0.54206667319953605</v>
      </c>
      <c r="F6" s="39">
        <f>(VALUATION!G6-VALUATION!F6)/VALUATION!F6</f>
        <v>0.52283550920528343</v>
      </c>
      <c r="G6" s="51">
        <f t="shared" si="0"/>
        <v>2.1622555108917765</v>
      </c>
      <c r="H6" s="51">
        <f t="shared" si="1"/>
        <v>1.0991182654540106</v>
      </c>
      <c r="I6" s="24">
        <v>1.3</v>
      </c>
      <c r="J6" s="30"/>
      <c r="L6" s="28"/>
      <c r="M6" s="29"/>
      <c r="N6" s="29"/>
      <c r="O6" s="29"/>
      <c r="P6" s="29"/>
      <c r="Q6" s="29"/>
      <c r="R6" s="29"/>
      <c r="S6" s="247"/>
      <c r="T6" s="247"/>
      <c r="U6" s="29"/>
      <c r="V6" s="29"/>
      <c r="W6" s="29"/>
      <c r="X6" s="29"/>
      <c r="Y6" s="29"/>
      <c r="Z6" s="30"/>
    </row>
    <row r="7" spans="1:26" ht="23.4" hidden="1" outlineLevel="1" x14ac:dyDescent="0.3">
      <c r="B7" s="50" t="s">
        <v>159</v>
      </c>
      <c r="C7" s="39">
        <f>(VALUATION!D10-VALUATION!C10)/VALUATION!C10</f>
        <v>-4.8913043478260872E-2</v>
      </c>
      <c r="D7" s="39">
        <f>(VALUATION!E10-VALUATION!D10)/VALUATION!D10</f>
        <v>-5.1428571428571428E-2</v>
      </c>
      <c r="E7" s="39">
        <f>(VALUATION!F10-VALUATION!E10)/VALUATION!E10</f>
        <v>-0.10240963855421686</v>
      </c>
      <c r="F7" s="39">
        <f>(VALUATION!G10-VALUATION!F10)/VALUATION!F10</f>
        <v>-0.13422818791946309</v>
      </c>
      <c r="G7" s="51">
        <f t="shared" si="0"/>
        <v>-8.424486034512807E-2</v>
      </c>
      <c r="H7" s="51">
        <f t="shared" si="1"/>
        <v>-7.6919104991394149E-2</v>
      </c>
      <c r="I7" s="48">
        <v>0</v>
      </c>
      <c r="J7" s="30" t="s">
        <v>1</v>
      </c>
      <c r="L7" s="28"/>
      <c r="M7" s="29"/>
      <c r="N7" s="29"/>
      <c r="O7" s="29"/>
      <c r="P7" s="29"/>
      <c r="Q7" s="29"/>
      <c r="R7" s="29"/>
      <c r="S7" s="247"/>
      <c r="T7" s="247"/>
      <c r="U7" s="29"/>
      <c r="V7" s="29"/>
      <c r="W7" s="29"/>
      <c r="X7" s="29"/>
      <c r="Y7" s="29"/>
      <c r="Z7" s="30"/>
    </row>
    <row r="8" spans="1:26" ht="23.4" hidden="1" outlineLevel="1" x14ac:dyDescent="0.3">
      <c r="B8" s="50" t="s">
        <v>160</v>
      </c>
      <c r="C8" s="39">
        <f>(VALUATION!D11-VALUATION!C11)/VALUATION!C11</f>
        <v>4.333333333333333</v>
      </c>
      <c r="D8" s="39">
        <f>(VALUATION!E11-VALUATION!D11)/VALUATION!D11</f>
        <v>1.6875</v>
      </c>
      <c r="E8" s="39">
        <f>(VALUATION!F11-VALUATION!E11)/VALUATION!E11</f>
        <v>0.41860465116279072</v>
      </c>
      <c r="F8" s="39">
        <f>(VALUATION!G11-VALUATION!F11)/VALUATION!F11</f>
        <v>0.5901639344262295</v>
      </c>
      <c r="G8" s="51">
        <f t="shared" si="0"/>
        <v>1.7574004797305882</v>
      </c>
      <c r="H8" s="51">
        <f t="shared" si="1"/>
        <v>1.1388319672131146</v>
      </c>
      <c r="I8" s="48">
        <v>0.04</v>
      </c>
      <c r="J8" s="30" t="s">
        <v>1</v>
      </c>
      <c r="L8" s="28"/>
      <c r="M8" s="29"/>
      <c r="N8" s="29"/>
      <c r="O8" s="29"/>
      <c r="P8" s="29"/>
      <c r="Q8" s="29"/>
      <c r="R8" s="29"/>
      <c r="S8" s="247"/>
      <c r="T8" s="247"/>
      <c r="U8" s="29"/>
      <c r="V8" s="29"/>
      <c r="W8" s="29"/>
      <c r="X8" s="29"/>
      <c r="Y8" s="29"/>
      <c r="Z8" s="30"/>
    </row>
    <row r="9" spans="1:26" ht="23.4" hidden="1" outlineLevel="1" x14ac:dyDescent="0.3">
      <c r="B9" s="50" t="s">
        <v>157</v>
      </c>
      <c r="C9" s="39">
        <f>VALUATION!D8/VALUATION!C8-1</f>
        <v>2.1276595744680771E-2</v>
      </c>
      <c r="D9" s="39">
        <f>VALUATION!E8/VALUATION!D8-1</f>
        <v>9.375E-2</v>
      </c>
      <c r="E9" s="39">
        <f>VALUATION!F8/VALUATION!E8-1</f>
        <v>0.10952380952380958</v>
      </c>
      <c r="F9" s="39">
        <f>VALUATION!G8/VALUATION!F8-1</f>
        <v>6.4377682403433445E-2</v>
      </c>
      <c r="G9" s="51">
        <f t="shared" si="0"/>
        <v>7.2232021917980949E-2</v>
      </c>
      <c r="H9" s="51">
        <f t="shared" si="1"/>
        <v>7.9063841201716722E-2</v>
      </c>
      <c r="I9" s="48">
        <v>8.5999999999999993E-2</v>
      </c>
      <c r="J9" s="30"/>
      <c r="L9" s="28"/>
      <c r="M9" s="29"/>
      <c r="N9" s="29"/>
      <c r="O9" s="29"/>
      <c r="P9" s="29"/>
      <c r="Q9" s="29"/>
      <c r="R9" s="29"/>
      <c r="S9" s="247"/>
      <c r="T9" s="247"/>
      <c r="U9" s="29"/>
      <c r="V9" s="29"/>
      <c r="W9" s="29"/>
      <c r="X9" s="29"/>
      <c r="Y9" s="29"/>
      <c r="Z9" s="30"/>
    </row>
    <row r="10" spans="1:26" ht="23.4" hidden="1" outlineLevel="1" x14ac:dyDescent="0.3">
      <c r="B10" s="50" t="s">
        <v>230</v>
      </c>
      <c r="C10" s="29"/>
      <c r="D10" s="29"/>
      <c r="E10" s="29"/>
      <c r="F10" s="29"/>
      <c r="G10" s="29"/>
      <c r="H10" s="29"/>
      <c r="I10" s="48">
        <f>1+I4+$I$9</f>
        <v>1.2060000000000002</v>
      </c>
      <c r="J10" s="58"/>
      <c r="K10" s="16"/>
      <c r="L10" s="28"/>
      <c r="M10" s="29"/>
      <c r="N10" s="29"/>
      <c r="O10" s="29"/>
      <c r="P10" s="29"/>
      <c r="Q10" s="29"/>
      <c r="R10" s="29"/>
      <c r="S10" s="247"/>
      <c r="T10" s="247"/>
      <c r="U10" s="29"/>
      <c r="V10" s="29"/>
      <c r="W10" s="29"/>
      <c r="X10" s="29"/>
      <c r="Y10" s="29"/>
      <c r="Z10" s="30"/>
    </row>
    <row r="11" spans="1:26" ht="23.4" hidden="1" outlineLevel="1" x14ac:dyDescent="0.3">
      <c r="B11" s="50" t="s">
        <v>231</v>
      </c>
      <c r="C11" s="29"/>
      <c r="D11" s="29"/>
      <c r="E11" s="29"/>
      <c r="F11" s="29"/>
      <c r="G11" s="29"/>
      <c r="H11" s="29"/>
      <c r="I11" s="48">
        <f>1+I5+$I$9</f>
        <v>0.996</v>
      </c>
      <c r="J11" s="58"/>
      <c r="K11" s="16"/>
      <c r="L11" s="28"/>
      <c r="M11" s="29"/>
      <c r="N11" s="38"/>
      <c r="O11" s="29"/>
      <c r="P11" s="29"/>
      <c r="Q11" s="29"/>
      <c r="R11" s="29"/>
      <c r="S11" s="247"/>
      <c r="T11" s="247"/>
      <c r="U11" s="29"/>
      <c r="V11" s="29"/>
      <c r="W11" s="29"/>
      <c r="X11" s="29"/>
      <c r="Y11" s="29"/>
      <c r="Z11" s="30"/>
    </row>
    <row r="12" spans="1:26" ht="24" hidden="1" outlineLevel="1" thickBot="1" x14ac:dyDescent="0.35">
      <c r="B12" s="50" t="s">
        <v>232</v>
      </c>
      <c r="C12" s="29"/>
      <c r="D12" s="29"/>
      <c r="E12" s="29"/>
      <c r="F12" s="29"/>
      <c r="G12" s="29"/>
      <c r="H12" s="29"/>
      <c r="I12" s="48">
        <f>1+I6+$I$9</f>
        <v>2.3859999999999997</v>
      </c>
      <c r="J12" s="58"/>
      <c r="K12" s="16"/>
      <c r="L12" s="28"/>
      <c r="M12" s="29"/>
      <c r="N12" s="29"/>
      <c r="O12" s="29"/>
      <c r="P12" s="29"/>
      <c r="Q12" s="29"/>
      <c r="R12" s="29"/>
      <c r="S12" s="247"/>
      <c r="T12" s="247"/>
      <c r="U12" s="29"/>
      <c r="V12" s="29"/>
      <c r="W12" s="29"/>
      <c r="X12" s="29"/>
      <c r="Y12" s="29"/>
      <c r="Z12" s="30"/>
    </row>
    <row r="13" spans="1:26" ht="34.200000000000003" collapsed="1" thickBot="1" x14ac:dyDescent="0.35">
      <c r="B13" s="266" t="s">
        <v>0</v>
      </c>
      <c r="C13" s="267"/>
      <c r="D13" s="267"/>
      <c r="E13" s="267"/>
      <c r="F13" s="267"/>
      <c r="G13" s="267"/>
      <c r="H13" s="267"/>
      <c r="I13" s="267"/>
      <c r="J13" s="268"/>
      <c r="L13" s="28"/>
      <c r="M13" s="29"/>
      <c r="N13" s="29"/>
      <c r="O13" s="29"/>
      <c r="P13" s="29"/>
      <c r="Q13" s="29"/>
      <c r="R13" s="29"/>
      <c r="S13" s="245" t="s">
        <v>235</v>
      </c>
      <c r="T13" s="249">
        <f>VALUATION!C184</f>
        <v>45.613091683545051</v>
      </c>
      <c r="U13" s="29"/>
      <c r="V13" s="29"/>
      <c r="W13" s="29"/>
      <c r="X13" s="251" t="s">
        <v>257</v>
      </c>
      <c r="Y13" s="252">
        <f>VALUATION!M172/VALUATION!C176</f>
        <v>0.84843439808509513</v>
      </c>
      <c r="Z13" s="30"/>
    </row>
    <row r="14" spans="1:26" hidden="1" x14ac:dyDescent="0.3">
      <c r="B14" s="28" t="s">
        <v>2</v>
      </c>
      <c r="C14" s="39">
        <f>(VALUATION!D31-VALUATION!C31)/VALUATION!C31</f>
        <v>0.14780442276946296</v>
      </c>
      <c r="D14" s="39">
        <f>(VALUATION!E31-VALUATION!D31)/VALUATION!D31</f>
        <v>0.12242196287964005</v>
      </c>
      <c r="E14" s="39">
        <f>(VALUATION!F31-VALUATION!E31)/VALUATION!E31</f>
        <v>-4.463139816088988E-2</v>
      </c>
      <c r="F14" s="39">
        <f>(VALUATION!G31-VALUATION!F31)/VALUATION!F31</f>
        <v>1.0945673820009802</v>
      </c>
      <c r="G14" s="51">
        <f>AVERAGE(C14:F14)</f>
        <v>0.33004059237229832</v>
      </c>
      <c r="H14" s="51">
        <f>MEDIAN(C14:F14)</f>
        <v>0.1351131928245515</v>
      </c>
      <c r="I14" s="59"/>
      <c r="J14" s="30"/>
      <c r="L14" s="28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30"/>
    </row>
    <row r="15" spans="1:26" x14ac:dyDescent="0.3">
      <c r="B15" s="28" t="s">
        <v>204</v>
      </c>
      <c r="C15" s="39">
        <f>(VALUATION!D32-VALUATION!C32)/VALUATION!C32</f>
        <v>0.11736360396087263</v>
      </c>
      <c r="D15" s="39">
        <f>(VALUATION!E32-VALUATION!D32)/VALUATION!D32</f>
        <v>0.13672988945893266</v>
      </c>
      <c r="E15" s="39">
        <f>(VALUATION!F32-VALUATION!E32)/VALUATION!E32</f>
        <v>2.2932513761643583E-2</v>
      </c>
      <c r="F15" s="39">
        <f>(VALUATION!G32-VALUATION!F32)/VALUATION!F32</f>
        <v>0.9307754310969425</v>
      </c>
      <c r="G15" s="51">
        <f t="shared" ref="G15:G18" si="2">AVERAGE(C15:F15)</f>
        <v>0.30195035956959781</v>
      </c>
      <c r="H15" s="51">
        <f t="shared" ref="H15:H18" si="3">MEDIAN(C15:F15)</f>
        <v>0.12704674670990265</v>
      </c>
      <c r="I15" s="24">
        <v>0.1</v>
      </c>
      <c r="J15" s="30"/>
      <c r="L15" s="28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30"/>
    </row>
    <row r="16" spans="1:26" ht="15" thickBot="1" x14ac:dyDescent="0.35">
      <c r="B16" s="28" t="s">
        <v>5</v>
      </c>
      <c r="C16" s="39">
        <f>(VALUATION!D35-VALUATION!C35)/VALUATION!C35</f>
        <v>0.15152165404002774</v>
      </c>
      <c r="D16" s="39">
        <f>(VALUATION!E35-VALUATION!D35)/VALUATION!D35</f>
        <v>0.11015732570458381</v>
      </c>
      <c r="E16" s="39">
        <f>(VALUATION!F35-VALUATION!E35)/VALUATION!E35</f>
        <v>4.6052641804151348E-2</v>
      </c>
      <c r="F16" s="39">
        <f>(VALUATION!G35-VALUATION!F35)/VALUATION!F35</f>
        <v>1.0495583071026715</v>
      </c>
      <c r="G16" s="51">
        <f t="shared" si="2"/>
        <v>0.3393224821628586</v>
      </c>
      <c r="H16" s="51">
        <f t="shared" si="3"/>
        <v>0.13083948987230576</v>
      </c>
      <c r="I16" s="24">
        <v>0.1</v>
      </c>
      <c r="J16" s="30"/>
      <c r="L16" s="34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6"/>
    </row>
    <row r="17" spans="2:26" x14ac:dyDescent="0.3">
      <c r="B17" s="28" t="s">
        <v>68</v>
      </c>
      <c r="C17" s="39">
        <f>(VALUATION!D39-VALUATION!C39)/VALUATION!C39</f>
        <v>9.0032883546887404E-2</v>
      </c>
      <c r="D17" s="39">
        <f>(VALUATION!E39-VALUATION!D39)/VALUATION!D39</f>
        <v>0.10072037865390616</v>
      </c>
      <c r="E17" s="39">
        <f>(VALUATION!F39-VALUATION!E39)/VALUATION!E39</f>
        <v>1.9722432894111977E-2</v>
      </c>
      <c r="F17" s="39">
        <f>(VALUATION!G39-VALUATION!F39)/VALUATION!F39</f>
        <v>0.77210658829485124</v>
      </c>
      <c r="G17" s="51">
        <f t="shared" si="2"/>
        <v>0.24564557084743921</v>
      </c>
      <c r="H17" s="51">
        <f t="shared" si="3"/>
        <v>9.5376631100396791E-2</v>
      </c>
      <c r="I17" s="24">
        <v>0.1</v>
      </c>
      <c r="J17" s="30"/>
    </row>
    <row r="18" spans="2:26" ht="15" thickBot="1" x14ac:dyDescent="0.35">
      <c r="B18" s="28" t="s">
        <v>205</v>
      </c>
      <c r="C18" s="39">
        <f>(VALUATION!D42-VALUATION!C42)/VALUATION!C42</f>
        <v>5.8852338860836094E-2</v>
      </c>
      <c r="D18" s="39">
        <f>(VALUATION!E42-VALUATION!D42)/VALUATION!D42</f>
        <v>0.98687289639196218</v>
      </c>
      <c r="E18" s="39">
        <f>(VALUATION!F42-VALUATION!E42)/VALUATION!E42</f>
        <v>-0.25411263502348169</v>
      </c>
      <c r="F18" s="39">
        <f>(VALUATION!G42-VALUATION!F42)/VALUATION!F42</f>
        <v>0.5428271698413375</v>
      </c>
      <c r="G18" s="51">
        <f t="shared" si="2"/>
        <v>0.33360994251766352</v>
      </c>
      <c r="H18" s="51">
        <f t="shared" si="3"/>
        <v>0.30083975435108679</v>
      </c>
      <c r="I18" s="24">
        <v>0.25</v>
      </c>
      <c r="J18" s="30"/>
    </row>
    <row r="19" spans="2:26" x14ac:dyDescent="0.3">
      <c r="B19" s="28" t="s">
        <v>9</v>
      </c>
      <c r="C19" s="39">
        <f>(VALUATION!D48-VALUATION!C48)/VALUATION!C48</f>
        <v>1.4780962954844967E-2</v>
      </c>
      <c r="D19" s="39">
        <f>(VALUATION!E48-VALUATION!D48)/VALUATION!D48</f>
        <v>1.5293935566946488</v>
      </c>
      <c r="E19" s="39">
        <f>(VALUATION!F48-VALUATION!E48)/VALUATION!E48</f>
        <v>0.16023378644958858</v>
      </c>
      <c r="F19" s="39">
        <f>(VALUATION!G48-VALUATION!F48)/VALUATION!F48</f>
        <v>0.27399805807875194</v>
      </c>
      <c r="G19" s="51">
        <f>AVERAGE(C19:F19)</f>
        <v>0.49460159104445861</v>
      </c>
      <c r="H19" s="51">
        <f>MEDIAN(C19:F19)</f>
        <v>0.21711592226417026</v>
      </c>
      <c r="I19" s="24">
        <v>0.2</v>
      </c>
      <c r="J19" s="30"/>
      <c r="L19" s="211"/>
      <c r="M19" s="212"/>
      <c r="N19" s="212"/>
      <c r="O19" s="212"/>
      <c r="P19" s="212"/>
      <c r="Q19" s="213"/>
      <c r="R19" s="211"/>
      <c r="S19" s="212"/>
      <c r="T19" s="212"/>
      <c r="U19" s="212"/>
      <c r="V19" s="212"/>
      <c r="W19" s="213"/>
      <c r="X19" s="212"/>
      <c r="Y19" s="212"/>
      <c r="Z19" s="213"/>
    </row>
    <row r="20" spans="2:26" x14ac:dyDescent="0.3">
      <c r="B20" s="28" t="s">
        <v>207</v>
      </c>
      <c r="C20" s="39">
        <f>(VALUATION!D60-VALUATION!C60)/VALUATION!C60</f>
        <v>0.25668603453249267</v>
      </c>
      <c r="D20" s="39">
        <f>(VALUATION!E60-VALUATION!D60)/VALUATION!D60</f>
        <v>1.341897298006296</v>
      </c>
      <c r="E20" s="39">
        <f>(VALUATION!F60-VALUATION!E60)/VALUATION!E60</f>
        <v>-0.28360998900845019</v>
      </c>
      <c r="F20" s="39">
        <f>(VALUATION!G60-VALUATION!F60)/VALUATION!F60</f>
        <v>0.6354920988595385</v>
      </c>
      <c r="G20" s="51">
        <f>AVERAGE(C20:F20)</f>
        <v>0.48761636059746921</v>
      </c>
      <c r="H20" s="51">
        <f>MEDIAN(C20:F20)</f>
        <v>0.44608906669601556</v>
      </c>
      <c r="I20" s="24">
        <v>0.2</v>
      </c>
      <c r="J20" s="30"/>
      <c r="L20" s="214"/>
      <c r="M20" s="215"/>
      <c r="N20" s="215"/>
      <c r="O20" s="215"/>
      <c r="P20" s="215"/>
      <c r="Q20" s="216"/>
      <c r="R20" s="214"/>
      <c r="S20" s="215"/>
      <c r="T20" s="215"/>
      <c r="U20" s="215"/>
      <c r="V20" s="215"/>
      <c r="W20" s="216"/>
      <c r="X20" s="215"/>
      <c r="Y20" s="215"/>
      <c r="Z20" s="216"/>
    </row>
    <row r="21" spans="2:26" ht="15" thickBot="1" x14ac:dyDescent="0.35">
      <c r="B21" s="28" t="s">
        <v>206</v>
      </c>
      <c r="C21" s="39">
        <f>(VALUATION!D61-VALUATION!C61)/VALUATION!C61</f>
        <v>-0.39407813560061733</v>
      </c>
      <c r="D21" s="39">
        <f>(VALUATION!E61-VALUATION!D61)/VALUATION!D61</f>
        <v>0.82800120480349915</v>
      </c>
      <c r="E21" s="39">
        <f>(VALUATION!F61-VALUATION!E61)/VALUATION!E61</f>
        <v>-0.18692509384760866</v>
      </c>
      <c r="F21" s="39">
        <f>(VALUATION!G61-VALUATION!F61)/VALUATION!F61</f>
        <v>0.4109898630342172</v>
      </c>
      <c r="G21" s="51">
        <f>AVERAGE(C21:F21)</f>
        <v>0.16449695959737259</v>
      </c>
      <c r="H21" s="51">
        <f>MEDIAN(C21:F21)</f>
        <v>0.11203238459330425</v>
      </c>
      <c r="I21" s="24">
        <v>0.1</v>
      </c>
      <c r="J21" s="30"/>
      <c r="L21" s="214"/>
      <c r="M21" s="215"/>
      <c r="N21" s="215"/>
      <c r="O21" s="215"/>
      <c r="P21" s="215"/>
      <c r="Q21" s="216"/>
      <c r="R21" s="214"/>
      <c r="S21" s="215"/>
      <c r="T21" s="215"/>
      <c r="U21" s="215"/>
      <c r="V21" s="215"/>
      <c r="W21" s="216"/>
      <c r="X21" s="215"/>
      <c r="Y21" s="215"/>
      <c r="Z21" s="216"/>
    </row>
    <row r="22" spans="2:26" ht="15" thickBot="1" x14ac:dyDescent="0.35">
      <c r="B22" s="266" t="s">
        <v>209</v>
      </c>
      <c r="C22" s="267"/>
      <c r="D22" s="267"/>
      <c r="E22" s="267"/>
      <c r="F22" s="267"/>
      <c r="G22" s="267"/>
      <c r="H22" s="267"/>
      <c r="I22" s="267"/>
      <c r="J22" s="268"/>
      <c r="L22" s="214"/>
      <c r="M22" s="215"/>
      <c r="N22" s="215"/>
      <c r="O22" s="215"/>
      <c r="P22" s="215"/>
      <c r="Q22" s="216"/>
      <c r="R22" s="214"/>
      <c r="S22" s="215"/>
      <c r="T22" s="215"/>
      <c r="U22" s="215"/>
      <c r="V22" s="215"/>
      <c r="W22" s="216"/>
      <c r="X22" s="215"/>
      <c r="Y22" s="215"/>
      <c r="Z22" s="216"/>
    </row>
    <row r="23" spans="2:26" x14ac:dyDescent="0.3">
      <c r="B23" s="28" t="s">
        <v>23</v>
      </c>
      <c r="C23" s="39">
        <f>(VALUATION!D87-VALUATION!C87)/VALUATION!C87</f>
        <v>5.0106766922008411E-2</v>
      </c>
      <c r="D23" s="39">
        <f>(VALUATION!E87-VALUATION!D87)/VALUATION!D87</f>
        <v>0.27962161726371232</v>
      </c>
      <c r="E23" s="39">
        <f>(VALUATION!F87-VALUATION!E87)/VALUATION!E87</f>
        <v>1.1035762955495818</v>
      </c>
      <c r="F23" s="39">
        <f>(VALUATION!G87-VALUATION!F87)/VALUATION!F87</f>
        <v>0.1562561357774758</v>
      </c>
      <c r="G23" s="51">
        <f>AVERAGE(C23:F23)</f>
        <v>0.39739020387819457</v>
      </c>
      <c r="H23" s="51">
        <f>MEDIAN(C23:F23)</f>
        <v>0.21793887652059407</v>
      </c>
      <c r="I23" s="24">
        <v>0.06</v>
      </c>
      <c r="J23" s="30"/>
      <c r="L23" s="214"/>
      <c r="M23" s="215"/>
      <c r="N23" s="215"/>
      <c r="O23" s="215"/>
      <c r="P23" s="215"/>
      <c r="Q23" s="216"/>
      <c r="R23" s="214"/>
      <c r="S23" s="215"/>
      <c r="T23" s="215"/>
      <c r="U23" s="215"/>
      <c r="V23" s="215"/>
      <c r="W23" s="216"/>
      <c r="X23" s="215"/>
      <c r="Y23" s="215"/>
      <c r="Z23" s="216"/>
    </row>
    <row r="24" spans="2:26" x14ac:dyDescent="0.3">
      <c r="B24" s="28" t="s">
        <v>24</v>
      </c>
      <c r="C24" s="39">
        <f>(VALUATION!D88-VALUATION!C88)/VALUATION!C88</f>
        <v>2.6505424392230505E-2</v>
      </c>
      <c r="D24" s="39">
        <f>(VALUATION!E88-VALUATION!D88)/VALUATION!D88</f>
        <v>0.21410991110131511</v>
      </c>
      <c r="E24" s="39">
        <f>(VALUATION!F88-VALUATION!E88)/VALUATION!E88</f>
        <v>-9.3750472761380318E-3</v>
      </c>
      <c r="F24" s="39">
        <f>(VALUATION!G88-VALUATION!F88)/VALUATION!F88</f>
        <v>0.39626733128389324</v>
      </c>
      <c r="G24" s="51">
        <f>AVERAGE(C24:F24)</f>
        <v>0.15687690487532521</v>
      </c>
      <c r="H24" s="51">
        <f>MEDIAN(C24:F24)</f>
        <v>0.12030766774677282</v>
      </c>
      <c r="I24" s="24">
        <v>0.1</v>
      </c>
      <c r="J24" s="30"/>
      <c r="L24" s="214"/>
      <c r="M24" s="215"/>
      <c r="N24" s="215"/>
      <c r="O24" s="215"/>
      <c r="P24" s="215"/>
      <c r="Q24" s="216"/>
      <c r="R24" s="214"/>
      <c r="S24" s="215"/>
      <c r="T24" s="215"/>
      <c r="U24" s="215"/>
      <c r="V24" s="215"/>
      <c r="W24" s="216"/>
      <c r="X24" s="215"/>
      <c r="Y24" s="215"/>
      <c r="Z24" s="216"/>
    </row>
    <row r="25" spans="2:26" ht="15" thickBot="1" x14ac:dyDescent="0.35">
      <c r="B25" s="28" t="s">
        <v>25</v>
      </c>
      <c r="C25" s="39">
        <f>(VALUATION!D89-VALUATION!C89)/VALUATION!C89</f>
        <v>-0.14596229927856644</v>
      </c>
      <c r="D25" s="39">
        <f>(VALUATION!E89-VALUATION!D89)/VALUATION!D89</f>
        <v>5.3989754210038692</v>
      </c>
      <c r="E25" s="39">
        <f>(VALUATION!F89-VALUATION!E89)/VALUATION!E89</f>
        <v>0.63686008918807513</v>
      </c>
      <c r="F25" s="39">
        <f>(VALUATION!G89-VALUATION!F89)/VALUATION!F89</f>
        <v>0.46000657677026469</v>
      </c>
      <c r="G25" s="51">
        <f>AVERAGE(C25:F25)</f>
        <v>1.5874699469209106</v>
      </c>
      <c r="H25" s="51">
        <f>MEDIAN(C25:F25)</f>
        <v>0.54843333297916996</v>
      </c>
      <c r="I25" s="24">
        <v>0.1</v>
      </c>
      <c r="J25" s="30"/>
      <c r="L25" s="214"/>
      <c r="M25" s="215"/>
      <c r="N25" s="215"/>
      <c r="O25" s="215"/>
      <c r="P25" s="215"/>
      <c r="Q25" s="216"/>
      <c r="R25" s="214"/>
      <c r="S25" s="215"/>
      <c r="T25" s="215"/>
      <c r="U25" s="215"/>
      <c r="V25" s="215"/>
      <c r="W25" s="216"/>
      <c r="X25" s="215"/>
      <c r="Y25" s="215"/>
      <c r="Z25" s="216"/>
    </row>
    <row r="26" spans="2:26" ht="15" thickBot="1" x14ac:dyDescent="0.35">
      <c r="B26" s="266" t="s">
        <v>210</v>
      </c>
      <c r="C26" s="267"/>
      <c r="D26" s="267"/>
      <c r="E26" s="267"/>
      <c r="F26" s="267"/>
      <c r="G26" s="267"/>
      <c r="H26" s="267"/>
      <c r="I26" s="267"/>
      <c r="J26" s="268"/>
      <c r="L26" s="217"/>
      <c r="M26" s="218"/>
      <c r="N26" s="218"/>
      <c r="O26" s="218"/>
      <c r="P26" s="218"/>
      <c r="Q26" s="219"/>
      <c r="R26" s="214"/>
      <c r="S26" s="215"/>
      <c r="T26" s="215"/>
      <c r="U26" s="215"/>
      <c r="V26" s="215"/>
      <c r="W26" s="216"/>
      <c r="X26" s="215"/>
      <c r="Y26" s="215"/>
      <c r="Z26" s="216"/>
    </row>
    <row r="27" spans="2:26" ht="15" thickBot="1" x14ac:dyDescent="0.35">
      <c r="B27" s="269" t="s">
        <v>211</v>
      </c>
      <c r="C27" s="270"/>
      <c r="D27" s="270"/>
      <c r="E27" s="270"/>
      <c r="F27" s="270"/>
      <c r="G27" s="270"/>
      <c r="H27" s="270"/>
      <c r="I27" s="270"/>
      <c r="J27" s="271"/>
      <c r="L27" s="214"/>
      <c r="M27" s="215"/>
      <c r="N27" s="215"/>
      <c r="O27" s="215"/>
      <c r="P27" s="215"/>
      <c r="Q27" s="216"/>
      <c r="R27" s="214"/>
      <c r="S27" s="215"/>
      <c r="U27" t="s">
        <v>241</v>
      </c>
      <c r="V27" t="s">
        <v>72</v>
      </c>
      <c r="W27" s="216"/>
      <c r="X27" s="215"/>
      <c r="Y27" s="215"/>
      <c r="Z27" s="216"/>
    </row>
    <row r="28" spans="2:26" x14ac:dyDescent="0.3">
      <c r="B28" s="28" t="s">
        <v>36</v>
      </c>
      <c r="C28" s="39">
        <f>(VALUATION!D112-VALUATION!C112)/VALUATION!C112</f>
        <v>0.10640104346114092</v>
      </c>
      <c r="D28" s="39">
        <f>(VALUATION!E112-VALUATION!D112)/VALUATION!D112</f>
        <v>1.1874698326196964</v>
      </c>
      <c r="E28" s="39">
        <f>(VALUATION!F112-VALUATION!E112)/VALUATION!E112</f>
        <v>0.51876248656808166</v>
      </c>
      <c r="F28" s="39">
        <f>(VALUATION!G112-VALUATION!F112)/VALUATION!F112</f>
        <v>0.19618632641921854</v>
      </c>
      <c r="G28" s="51">
        <f>AVERAGE(C28:F28)</f>
        <v>0.50220492226703439</v>
      </c>
      <c r="H28" s="51">
        <f>MEDIAN(C28:F28)</f>
        <v>0.35747440649365014</v>
      </c>
      <c r="I28" s="24">
        <v>0.12</v>
      </c>
      <c r="J28" s="30"/>
      <c r="L28" s="214"/>
      <c r="M28" s="215"/>
      <c r="N28" s="215"/>
      <c r="O28" s="215"/>
      <c r="P28" s="215"/>
      <c r="Q28" s="216"/>
      <c r="R28" s="214"/>
      <c r="S28" s="215"/>
      <c r="T28" t="s">
        <v>237</v>
      </c>
      <c r="U28" s="220">
        <f>31.4</f>
        <v>31.4</v>
      </c>
      <c r="V28" s="14">
        <v>8.9700000000000002E-2</v>
      </c>
      <c r="W28" s="216"/>
      <c r="X28" s="215"/>
      <c r="Y28" s="215"/>
      <c r="Z28" s="216"/>
    </row>
    <row r="29" spans="2:26" x14ac:dyDescent="0.3">
      <c r="B29" s="28" t="s">
        <v>33</v>
      </c>
      <c r="C29" s="39">
        <f>(VALUATION!D105-VALUATION!C105)/VALUATION!C105</f>
        <v>0.61807471379259793</v>
      </c>
      <c r="D29" s="39">
        <f>(VALUATION!E105-VALUATION!D105)/VALUATION!D105</f>
        <v>-0.56630892273225208</v>
      </c>
      <c r="E29" s="39">
        <f>(VALUATION!F105-VALUATION!E105)/VALUATION!E105</f>
        <v>3.8837220344133399</v>
      </c>
      <c r="F29" s="39">
        <f>(VALUATION!G105-VALUATION!F105)/VALUATION!F105</f>
        <v>6.8155436082404069E-2</v>
      </c>
      <c r="G29" s="51">
        <f>AVERAGE(C29:F29)</f>
        <v>1.0009108153890225</v>
      </c>
      <c r="H29" s="51">
        <f>MEDIAN(C29:F29)</f>
        <v>0.34311507493750104</v>
      </c>
      <c r="I29" s="24">
        <v>0.1</v>
      </c>
      <c r="J29" s="30"/>
      <c r="L29" s="214"/>
      <c r="M29" s="215"/>
      <c r="N29" s="215"/>
      <c r="O29" s="215"/>
      <c r="P29" s="215"/>
      <c r="Q29" s="216"/>
      <c r="R29" s="214"/>
      <c r="S29" s="215"/>
      <c r="T29" t="s">
        <v>238</v>
      </c>
      <c r="U29" s="220">
        <v>7</v>
      </c>
      <c r="V29" s="14">
        <v>0.1431</v>
      </c>
      <c r="W29" s="216"/>
      <c r="X29" s="215"/>
      <c r="Y29" s="215"/>
      <c r="Z29" s="216"/>
    </row>
    <row r="30" spans="2:26" ht="15" thickBot="1" x14ac:dyDescent="0.35">
      <c r="B30" s="28" t="s">
        <v>34</v>
      </c>
      <c r="C30" s="39">
        <f>(VALUATION!D109-VALUATION!C109)/VALUATION!C109</f>
        <v>-3.325421314977451E-2</v>
      </c>
      <c r="D30" s="39">
        <f>(VALUATION!E109-VALUATION!D109)/VALUATION!D109</f>
        <v>9.8656530191799895E-3</v>
      </c>
      <c r="E30" s="39">
        <f>(VALUATION!F109-VALUATION!E109)/VALUATION!E109</f>
        <v>-0.34498352264062115</v>
      </c>
      <c r="F30" s="39">
        <f>(VALUATION!G109-VALUATION!F109)/VALUATION!F109</f>
        <v>0.45134045317271515</v>
      </c>
      <c r="G30" s="51">
        <f>AVERAGE(C30:F30)</f>
        <v>2.0742092600374865E-2</v>
      </c>
      <c r="H30" s="51">
        <f>MEDIAN(C30:F30)</f>
        <v>-1.1694280065297262E-2</v>
      </c>
      <c r="I30" s="24">
        <v>0.03</v>
      </c>
      <c r="J30" s="30"/>
      <c r="L30" s="214"/>
      <c r="M30" s="215" t="s">
        <v>242</v>
      </c>
      <c r="N30" s="221">
        <f>VALUATION!I9/VALUATION!I8</f>
        <v>0.9140340237703739</v>
      </c>
      <c r="O30" s="215"/>
      <c r="P30" s="215"/>
      <c r="Q30" s="216"/>
      <c r="R30" s="214"/>
      <c r="S30" s="215"/>
      <c r="T30" t="s">
        <v>239</v>
      </c>
      <c r="U30" s="220">
        <v>1.8</v>
      </c>
      <c r="V30" s="14">
        <v>8.8200000000000001E-2</v>
      </c>
      <c r="W30" s="216"/>
      <c r="X30" s="215"/>
      <c r="Y30" s="215"/>
      <c r="Z30" s="216"/>
    </row>
    <row r="31" spans="2:26" ht="15" thickBot="1" x14ac:dyDescent="0.35">
      <c r="B31" s="269" t="s">
        <v>212</v>
      </c>
      <c r="C31" s="270"/>
      <c r="D31" s="270"/>
      <c r="E31" s="270"/>
      <c r="F31" s="270"/>
      <c r="G31" s="270"/>
      <c r="H31" s="270"/>
      <c r="I31" s="270"/>
      <c r="J31" s="271"/>
      <c r="L31" s="214"/>
      <c r="M31" s="215" t="s">
        <v>243</v>
      </c>
      <c r="N31" s="221">
        <f>VALUATION!I16/VALUATION!I8</f>
        <v>8.2058431855552144E-2</v>
      </c>
      <c r="O31" s="215"/>
      <c r="P31" s="215"/>
      <c r="Q31" s="216"/>
      <c r="R31" s="214"/>
      <c r="S31" s="215"/>
      <c r="T31" t="s">
        <v>240</v>
      </c>
      <c r="U31" s="220">
        <f>VALUATION!C203/1000000</f>
        <v>5.91</v>
      </c>
      <c r="V31" s="14">
        <f>VALUATION!C189</f>
        <v>0.10455383510835325</v>
      </c>
      <c r="W31" s="216"/>
      <c r="X31" s="215"/>
      <c r="Y31" s="215"/>
      <c r="Z31" s="216"/>
    </row>
    <row r="32" spans="2:26" x14ac:dyDescent="0.3">
      <c r="B32" s="28" t="s">
        <v>214</v>
      </c>
      <c r="C32" s="38">
        <f>(VALUATION!D116-VALUATION!C116)/VALUATION!C116</f>
        <v>0.12292225372666235</v>
      </c>
      <c r="D32" s="38">
        <f>(VALUATION!E116-VALUATION!D116)/VALUATION!D116</f>
        <v>0.20129328832378376</v>
      </c>
      <c r="E32" s="38">
        <f>(VALUATION!F116-VALUATION!E116)/VALUATION!E116</f>
        <v>9.4599307268931482E-2</v>
      </c>
      <c r="F32" s="38">
        <f>(VALUATION!G116-VALUATION!F116)/VALUATION!F116</f>
        <v>0.49871856140772935</v>
      </c>
      <c r="G32" s="52">
        <f>AVERAGE(C32:F32)</f>
        <v>0.22938335268177673</v>
      </c>
      <c r="H32" s="52">
        <f>MEDIAN(C32:F32)</f>
        <v>0.16210777102522306</v>
      </c>
      <c r="I32" s="24">
        <v>0.14000000000000001</v>
      </c>
      <c r="J32" s="30"/>
      <c r="L32" s="214"/>
      <c r="M32" s="215"/>
      <c r="N32" s="215"/>
      <c r="O32" s="215"/>
      <c r="P32" s="215"/>
      <c r="Q32" s="216"/>
      <c r="R32" s="214"/>
      <c r="S32" s="215"/>
      <c r="T32" s="215"/>
      <c r="U32" s="215"/>
      <c r="V32" s="215"/>
      <c r="W32" s="216"/>
      <c r="X32" s="215"/>
      <c r="Y32" s="215"/>
      <c r="Z32" s="216"/>
    </row>
    <row r="33" spans="2:26" ht="15" thickBot="1" x14ac:dyDescent="0.35">
      <c r="B33" s="28" t="s">
        <v>215</v>
      </c>
      <c r="C33" s="38">
        <f>(VALUATION!D118-VALUATION!C118)/VALUATION!C118</f>
        <v>-9.8708529584039903E-2</v>
      </c>
      <c r="D33" s="38">
        <f>(VALUATION!E118-VALUATION!D118)/VALUATION!D118</f>
        <v>1.9173526562522818</v>
      </c>
      <c r="E33" s="38">
        <f>(VALUATION!F118-VALUATION!E118)/VALUATION!E118</f>
        <v>0.42991862809962866</v>
      </c>
      <c r="F33" s="38">
        <f>(VALUATION!G118-VALUATION!F118)/VALUATION!F118</f>
        <v>0.16817777891880253</v>
      </c>
      <c r="G33" s="52">
        <f>AVERAGE(C33:F33)</f>
        <v>0.60418513342166824</v>
      </c>
      <c r="H33" s="52">
        <f>MEDIAN(C33:F33)</f>
        <v>0.29904820350921557</v>
      </c>
      <c r="I33" s="24">
        <v>0.1</v>
      </c>
      <c r="J33" s="30"/>
      <c r="L33" s="214"/>
      <c r="M33" s="215"/>
      <c r="N33" s="215"/>
      <c r="O33" s="215"/>
      <c r="P33" s="215"/>
      <c r="Q33" s="216"/>
      <c r="R33" s="214"/>
      <c r="S33" s="215"/>
      <c r="T33" s="215"/>
      <c r="U33" s="215"/>
      <c r="V33" s="215"/>
      <c r="W33" s="216"/>
      <c r="X33" s="215"/>
      <c r="Y33" s="215"/>
      <c r="Z33" s="216"/>
    </row>
    <row r="34" spans="2:26" ht="15" thickBot="1" x14ac:dyDescent="0.35">
      <c r="B34" s="269" t="s">
        <v>213</v>
      </c>
      <c r="C34" s="270"/>
      <c r="D34" s="270"/>
      <c r="E34" s="270"/>
      <c r="F34" s="270"/>
      <c r="G34" s="270"/>
      <c r="H34" s="270"/>
      <c r="I34" s="270"/>
      <c r="J34" s="271"/>
      <c r="L34" s="214"/>
      <c r="M34" s="215"/>
      <c r="N34" s="215"/>
      <c r="O34" s="215"/>
      <c r="P34" s="215"/>
      <c r="Q34" s="216"/>
      <c r="R34" s="214"/>
      <c r="S34" s="215"/>
      <c r="T34" s="215"/>
      <c r="U34" s="215"/>
      <c r="V34" s="215"/>
      <c r="W34" s="216"/>
      <c r="X34" s="215"/>
      <c r="Y34" s="215"/>
      <c r="Z34" s="216"/>
    </row>
    <row r="35" spans="2:26" x14ac:dyDescent="0.3">
      <c r="B35" s="28" t="s">
        <v>216</v>
      </c>
      <c r="C35" s="38">
        <f>(VALUATION!D124-VALUATION!C124)/VALUATION!C124</f>
        <v>3.7856428714257149</v>
      </c>
      <c r="D35" s="38">
        <f>(VALUATION!E124-VALUATION!D124)/VALUATION!D124</f>
        <v>5.1038315296870431</v>
      </c>
      <c r="E35" s="38">
        <f>(VALUATION!F124-VALUATION!E124)/VALUATION!E124</f>
        <v>0.46498223612603795</v>
      </c>
      <c r="F35" s="38">
        <f>(VALUATION!G124-VALUATION!F124)/VALUATION!F124</f>
        <v>0.29938168488241151</v>
      </c>
      <c r="G35" s="52">
        <f>AVERAGE(C35:F35)</f>
        <v>2.4134595805303016</v>
      </c>
      <c r="H35" s="52">
        <f>MEDIAN(C35:F35)</f>
        <v>2.1253125537758764</v>
      </c>
      <c r="I35" s="24">
        <v>0.3</v>
      </c>
      <c r="J35" s="30"/>
      <c r="L35" s="214"/>
      <c r="M35" s="215"/>
      <c r="N35" s="215"/>
      <c r="O35" s="215"/>
      <c r="P35" s="215"/>
      <c r="Q35" s="216"/>
      <c r="R35" s="214"/>
      <c r="S35" s="215"/>
      <c r="T35" s="215"/>
      <c r="U35" s="215"/>
      <c r="V35" s="215"/>
      <c r="W35" s="216"/>
      <c r="X35" s="215"/>
      <c r="Y35" s="215"/>
      <c r="Z35" s="216"/>
    </row>
    <row r="36" spans="2:26" ht="15" thickBot="1" x14ac:dyDescent="0.35">
      <c r="B36" s="28" t="s">
        <v>39</v>
      </c>
      <c r="C36" s="39">
        <f>(VALUATION!D125-VALUATION!C125)/VALUATION!C125</f>
        <v>9.1589925108238098E-3</v>
      </c>
      <c r="D36" s="39">
        <f>(VALUATION!E125-VALUATION!D125)/VALUATION!D125</f>
        <v>2.1550097265019934</v>
      </c>
      <c r="E36" s="39">
        <f>(VALUATION!F125-VALUATION!E125)/VALUATION!E125</f>
        <v>0.90048017486027609</v>
      </c>
      <c r="F36" s="39">
        <f>(VALUATION!G125-VALUATION!F125)/VALUATION!F125</f>
        <v>4.4296703084850605E-3</v>
      </c>
      <c r="G36" s="52">
        <f>AVERAGE(C36:F36)</f>
        <v>0.76726964104539463</v>
      </c>
      <c r="H36" s="52">
        <f>MEDIAN(C36:F36)</f>
        <v>0.45481958368554992</v>
      </c>
      <c r="I36" s="24">
        <v>0.01</v>
      </c>
      <c r="J36" s="30"/>
      <c r="L36" s="217"/>
      <c r="M36" s="218"/>
      <c r="N36" s="218"/>
      <c r="O36" s="218"/>
      <c r="P36" s="218"/>
      <c r="Q36" s="219"/>
      <c r="R36" s="217"/>
      <c r="S36" s="218"/>
      <c r="T36" s="218"/>
      <c r="U36" s="218"/>
      <c r="V36" s="218"/>
      <c r="W36" s="219"/>
      <c r="X36" s="218"/>
      <c r="Y36" s="218"/>
      <c r="Z36" s="219"/>
    </row>
    <row r="37" spans="2:26" ht="15" thickBot="1" x14ac:dyDescent="0.35">
      <c r="B37" s="34"/>
      <c r="C37" s="35"/>
      <c r="D37" s="35"/>
      <c r="E37" s="35"/>
      <c r="F37" s="35"/>
      <c r="G37" s="35"/>
      <c r="H37" s="35"/>
      <c r="I37" s="53"/>
      <c r="J37" s="36"/>
    </row>
    <row r="38" spans="2:26" ht="15" thickBot="1" x14ac:dyDescent="0.35"/>
    <row r="39" spans="2:26" ht="25.2" customHeight="1" x14ac:dyDescent="0.3">
      <c r="L39" s="256" t="s">
        <v>233</v>
      </c>
      <c r="M39" s="257"/>
      <c r="N39" s="263" t="s">
        <v>72</v>
      </c>
      <c r="O39" s="264"/>
      <c r="P39" s="264"/>
      <c r="Q39" s="264"/>
      <c r="R39" s="264"/>
      <c r="S39" s="264"/>
      <c r="T39" s="264"/>
      <c r="U39" s="264"/>
      <c r="V39" s="265"/>
      <c r="W39" s="213"/>
      <c r="X39" s="211"/>
      <c r="Y39" s="212"/>
      <c r="Z39" s="213"/>
    </row>
    <row r="40" spans="2:26" ht="26.4" thickBot="1" x14ac:dyDescent="0.55000000000000004">
      <c r="L40" s="258"/>
      <c r="M40" s="259"/>
      <c r="N40" s="230">
        <v>0.04</v>
      </c>
      <c r="O40" s="231">
        <v>0.06</v>
      </c>
      <c r="P40" s="231">
        <v>0.08</v>
      </c>
      <c r="Q40" s="231">
        <v>0.1</v>
      </c>
      <c r="R40" s="231">
        <v>0.12</v>
      </c>
      <c r="S40" s="231">
        <v>0.14000000000000001</v>
      </c>
      <c r="T40" s="231">
        <v>0.16</v>
      </c>
      <c r="U40" s="231">
        <v>0.18</v>
      </c>
      <c r="V40" s="232">
        <v>0.2</v>
      </c>
      <c r="W40" s="216"/>
      <c r="X40" s="214"/>
      <c r="Y40" s="215"/>
      <c r="Z40" s="216"/>
    </row>
    <row r="41" spans="2:26" ht="23.4" x14ac:dyDescent="0.45">
      <c r="L41" s="260" t="s">
        <v>247</v>
      </c>
      <c r="M41" s="233">
        <v>1.4E-2</v>
      </c>
      <c r="N41" s="236">
        <f>NPV(N$40,$L63:$Q63)</f>
        <v>27528863.880967487</v>
      </c>
      <c r="O41" s="237">
        <f t="shared" ref="O41:O53" si="4">NPV($O$40,L77:Q77)</f>
        <v>15332054.201492121</v>
      </c>
      <c r="P41" s="237">
        <f t="shared" ref="P41:P53" si="5">NPV($P$40,L91:Q91)</f>
        <v>11104827.894005876</v>
      </c>
      <c r="Q41" s="237">
        <f t="shared" ref="Q41:Q53" si="6">NPV($Q$40,L105:Q105)</f>
        <v>8828335.7642586045</v>
      </c>
      <c r="R41" s="237">
        <f t="shared" ref="R41:R53" si="7">NPV($R$40,L119:Q119)</f>
        <v>7398494.6537861275</v>
      </c>
      <c r="S41" s="237">
        <f t="shared" ref="S41:S53" si="8">NPV($S$40,L133:Q133)</f>
        <v>6412353.2581056934</v>
      </c>
      <c r="T41" s="237">
        <f t="shared" ref="T41:T53" si="9">NPV($T$40,L147:Q147)</f>
        <v>5687832.0514284698</v>
      </c>
      <c r="U41" s="237">
        <f t="shared" ref="U41:U53" si="10">NPV($U$40,L161:Q161)</f>
        <v>5130646.1073381091</v>
      </c>
      <c r="V41" s="238">
        <f t="shared" ref="V41:V53" si="11">NPV($V$40,L175:Q175)</f>
        <v>4687088.9244747059</v>
      </c>
      <c r="W41" s="216"/>
      <c r="X41" s="214"/>
      <c r="Y41" s="215"/>
      <c r="Z41" s="216"/>
    </row>
    <row r="42" spans="2:26" ht="23.4" x14ac:dyDescent="0.45">
      <c r="L42" s="261"/>
      <c r="M42" s="234">
        <v>1.6E-2</v>
      </c>
      <c r="N42" s="236">
        <f t="shared" ref="N42:N53" si="12">NPV(N$40,L64:Q64)</f>
        <v>27810403.572612226</v>
      </c>
      <c r="O42" s="237">
        <f t="shared" si="4"/>
        <v>15836096.088593367</v>
      </c>
      <c r="P42" s="237">
        <f t="shared" si="5"/>
        <v>11324798.056891238</v>
      </c>
      <c r="Q42" s="237">
        <f t="shared" si="6"/>
        <v>8945680.956358334</v>
      </c>
      <c r="R42" s="237">
        <f t="shared" si="7"/>
        <v>7468765.817465594</v>
      </c>
      <c r="S42" s="237">
        <f t="shared" si="8"/>
        <v>6457735.9211290982</v>
      </c>
      <c r="T42" s="237">
        <f t="shared" si="9"/>
        <v>5718749.3236125754</v>
      </c>
      <c r="U42" s="237">
        <f t="shared" si="10"/>
        <v>5152566.3062482076</v>
      </c>
      <c r="V42" s="238">
        <f t="shared" si="11"/>
        <v>4703120.2512214556</v>
      </c>
      <c r="W42" s="216"/>
      <c r="X42" s="214"/>
      <c r="Y42" s="215"/>
      <c r="Z42" s="216"/>
    </row>
    <row r="43" spans="2:26" ht="23.4" x14ac:dyDescent="0.45">
      <c r="L43" s="261"/>
      <c r="M43" s="234">
        <v>1.7999999999999999E-2</v>
      </c>
      <c r="N43" s="236">
        <f t="shared" si="12"/>
        <v>29935633.115060464</v>
      </c>
      <c r="O43" s="237">
        <f t="shared" si="4"/>
        <v>16388141.964942357</v>
      </c>
      <c r="P43" s="237">
        <f t="shared" si="5"/>
        <v>11558959.843188561</v>
      </c>
      <c r="Q43" s="237">
        <f t="shared" si="6"/>
        <v>9068750.3041702472</v>
      </c>
      <c r="R43" s="237">
        <f t="shared" si="7"/>
        <v>7541792.7130540591</v>
      </c>
      <c r="S43" s="237">
        <f t="shared" si="8"/>
        <v>6504606.5403172057</v>
      </c>
      <c r="T43" s="237">
        <f t="shared" si="9"/>
        <v>5750537.5048722895</v>
      </c>
      <c r="U43" s="237">
        <f t="shared" si="10"/>
        <v>5175027.7446375685</v>
      </c>
      <c r="V43" s="238">
        <f t="shared" si="11"/>
        <v>4719503.9148197807</v>
      </c>
      <c r="W43" s="216"/>
      <c r="X43" s="214"/>
      <c r="Y43" s="215"/>
      <c r="Z43" s="216"/>
    </row>
    <row r="44" spans="2:26" ht="23.4" x14ac:dyDescent="0.45">
      <c r="L44" s="261"/>
      <c r="M44" s="234">
        <v>0.02</v>
      </c>
      <c r="N44" s="236">
        <f t="shared" si="12"/>
        <v>32485908.565998349</v>
      </c>
      <c r="O44" s="237">
        <f t="shared" si="4"/>
        <v>16995392.428926241</v>
      </c>
      <c r="P44" s="237">
        <f t="shared" si="5"/>
        <v>11808732.41523904</v>
      </c>
      <c r="Q44" s="237">
        <f t="shared" si="6"/>
        <v>9197973.1193727516</v>
      </c>
      <c r="R44" s="237">
        <f t="shared" si="7"/>
        <v>7617740.684466063</v>
      </c>
      <c r="S44" s="237">
        <f t="shared" si="8"/>
        <v>6553039.5134782484</v>
      </c>
      <c r="T44" s="237">
        <f t="shared" si="9"/>
        <v>5783233.9198822835</v>
      </c>
      <c r="U44" s="237">
        <f t="shared" si="10"/>
        <v>5198050.718986663</v>
      </c>
      <c r="V44" s="238">
        <f t="shared" si="11"/>
        <v>4736251.6598314019</v>
      </c>
      <c r="W44" s="216"/>
      <c r="X44" s="214"/>
      <c r="Y44" s="215"/>
      <c r="Z44" s="216"/>
    </row>
    <row r="45" spans="2:26" ht="23.4" x14ac:dyDescent="0.45">
      <c r="L45" s="261"/>
      <c r="M45" s="234">
        <v>2.1999999999999999E-2</v>
      </c>
      <c r="N45" s="236">
        <f t="shared" si="12"/>
        <v>35602911.894922413</v>
      </c>
      <c r="O45" s="237">
        <f t="shared" si="4"/>
        <v>17666563.994382109</v>
      </c>
      <c r="P45" s="237">
        <f t="shared" si="5"/>
        <v>12075730.681913687</v>
      </c>
      <c r="Q45" s="237">
        <f t="shared" si="6"/>
        <v>9333822.7456112839</v>
      </c>
      <c r="R45" s="237">
        <f t="shared" si="7"/>
        <v>7696788.5730785578</v>
      </c>
      <c r="S45" s="237">
        <f t="shared" si="8"/>
        <v>6603114.282339667</v>
      </c>
      <c r="T45" s="237">
        <f t="shared" si="9"/>
        <v>5816878.0570664788</v>
      </c>
      <c r="U45" s="237">
        <f t="shared" si="10"/>
        <v>5221656.5534458617</v>
      </c>
      <c r="V45" s="238">
        <f t="shared" si="11"/>
        <v>4753375.758663509</v>
      </c>
      <c r="W45" s="216"/>
      <c r="X45" s="214"/>
      <c r="Y45" s="215"/>
      <c r="Z45" s="216"/>
    </row>
    <row r="46" spans="2:26" ht="23.4" x14ac:dyDescent="0.45">
      <c r="L46" s="261"/>
      <c r="M46" s="234">
        <v>2.4E-2</v>
      </c>
      <c r="N46" s="236">
        <f t="shared" si="12"/>
        <v>39499166.056077525</v>
      </c>
      <c r="O46" s="237">
        <f t="shared" si="4"/>
        <v>18412310.178221971</v>
      </c>
      <c r="P46" s="237">
        <f t="shared" si="5"/>
        <v>12361800.253350811</v>
      </c>
      <c r="Q46" s="237">
        <f t="shared" si="6"/>
        <v>9476822.3521781601</v>
      </c>
      <c r="R46" s="237">
        <f t="shared" si="7"/>
        <v>7779130.1237165723</v>
      </c>
      <c r="S46" s="237">
        <f t="shared" si="8"/>
        <v>6654915.767368719</v>
      </c>
      <c r="T46" s="237">
        <f t="shared" si="9"/>
        <v>5851511.7276972681</v>
      </c>
      <c r="U46" s="237">
        <f t="shared" si="10"/>
        <v>5245867.6657117065</v>
      </c>
      <c r="V46" s="238">
        <f t="shared" si="11"/>
        <v>4770889.041559983</v>
      </c>
      <c r="W46" s="216"/>
      <c r="X46" s="214"/>
      <c r="Y46" s="215"/>
      <c r="Z46" s="216"/>
    </row>
    <row r="47" spans="2:26" ht="23.4" x14ac:dyDescent="0.45">
      <c r="L47" s="261"/>
      <c r="M47" s="234">
        <v>2.5999999999999999E-2</v>
      </c>
      <c r="N47" s="236">
        <f t="shared" si="12"/>
        <v>44508635.69184836</v>
      </c>
      <c r="O47" s="237">
        <f t="shared" si="4"/>
        <v>19245791.207219459</v>
      </c>
      <c r="P47" s="237">
        <f t="shared" si="5"/>
        <v>12669060.163412904</v>
      </c>
      <c r="Q47" s="237">
        <f t="shared" si="6"/>
        <v>9627551.6672081128</v>
      </c>
      <c r="R47" s="237">
        <f t="shared" si="7"/>
        <v>7864975.570126418</v>
      </c>
      <c r="S47" s="237">
        <f t="shared" si="8"/>
        <v>6708534.8483637031</v>
      </c>
      <c r="T47" s="237">
        <f t="shared" si="9"/>
        <v>5887179.2392424075</v>
      </c>
      <c r="U47" s="237">
        <f t="shared" si="10"/>
        <v>5270707.6380364047</v>
      </c>
      <c r="V47" s="238">
        <f t="shared" si="11"/>
        <v>4788804.928660973</v>
      </c>
      <c r="W47" s="216"/>
      <c r="X47" s="214"/>
      <c r="Y47" s="215"/>
      <c r="Z47" s="216"/>
    </row>
    <row r="48" spans="2:26" ht="23.4" x14ac:dyDescent="0.45">
      <c r="L48" s="261"/>
      <c r="M48" s="234">
        <v>2.8000000000000001E-2</v>
      </c>
      <c r="N48" s="236">
        <f t="shared" si="12"/>
        <v>51187928.539542824</v>
      </c>
      <c r="O48" s="237">
        <f t="shared" si="4"/>
        <v>20183457.364841633</v>
      </c>
      <c r="P48" s="237">
        <f t="shared" si="5"/>
        <v>12999955.451172082</v>
      </c>
      <c r="Q48" s="237">
        <f t="shared" si="6"/>
        <v>9786654.833073061</v>
      </c>
      <c r="R48" s="237">
        <f t="shared" si="7"/>
        <v>7954553.4272497343</v>
      </c>
      <c r="S48" s="237">
        <f t="shared" si="8"/>
        <v>6764068.8965370804</v>
      </c>
      <c r="T48" s="237">
        <f t="shared" si="9"/>
        <v>5923927.5844707349</v>
      </c>
      <c r="U48" s="237">
        <f t="shared" si="10"/>
        <v>5296201.2938433308</v>
      </c>
      <c r="V48" s="238">
        <f t="shared" si="11"/>
        <v>4807137.4642991954</v>
      </c>
      <c r="W48" s="216"/>
      <c r="X48" s="214"/>
      <c r="Y48" s="215"/>
      <c r="Z48" s="216"/>
    </row>
    <row r="49" spans="12:26" ht="23.4" x14ac:dyDescent="0.45">
      <c r="L49" s="261"/>
      <c r="M49" s="234">
        <v>0.03</v>
      </c>
      <c r="N49" s="236">
        <f t="shared" si="12"/>
        <v>60538938.526315063</v>
      </c>
      <c r="O49" s="237">
        <f t="shared" si="4"/>
        <v>21246145.676813435</v>
      </c>
      <c r="P49" s="237">
        <f t="shared" si="5"/>
        <v>13357322.361951996</v>
      </c>
      <c r="Q49" s="237">
        <f t="shared" si="6"/>
        <v>9954849.6084160078</v>
      </c>
      <c r="R49" s="239">
        <f t="shared" si="7"/>
        <v>8048112.5224674214</v>
      </c>
      <c r="S49" s="237">
        <f t="shared" si="8"/>
        <v>6821622.3646440357</v>
      </c>
      <c r="T49" s="237">
        <f t="shared" si="9"/>
        <v>5961806.6480137799</v>
      </c>
      <c r="U49" s="237">
        <f t="shared" si="10"/>
        <v>5322374.7804717757</v>
      </c>
      <c r="V49" s="238">
        <f t="shared" si="11"/>
        <v>4825901.3537171409</v>
      </c>
      <c r="W49" s="216"/>
      <c r="X49" s="214"/>
      <c r="Y49" s="215"/>
      <c r="Z49" s="216"/>
    </row>
    <row r="50" spans="12:26" ht="23.4" x14ac:dyDescent="0.45">
      <c r="L50" s="261"/>
      <c r="M50" s="234">
        <v>3.2000000000000001E-2</v>
      </c>
      <c r="N50" s="236">
        <f t="shared" si="12"/>
        <v>74565453.506473422</v>
      </c>
      <c r="O50" s="237">
        <f t="shared" si="4"/>
        <v>22460646.604781207</v>
      </c>
      <c r="P50" s="237">
        <f t="shared" si="5"/>
        <v>13744469.848630238</v>
      </c>
      <c r="Q50" s="237">
        <f t="shared" si="6"/>
        <v>10132938.194073245</v>
      </c>
      <c r="R50" s="237">
        <f t="shared" si="7"/>
        <v>8145924.3038313659</v>
      </c>
      <c r="S50" s="237">
        <f t="shared" si="8"/>
        <v>6881307.4426808767</v>
      </c>
      <c r="T50" s="237">
        <f t="shared" si="9"/>
        <v>6000869.4322925452</v>
      </c>
      <c r="U50" s="237">
        <f t="shared" si="10"/>
        <v>5349255.6586307194</v>
      </c>
      <c r="V50" s="238">
        <f t="shared" si="11"/>
        <v>4845112.0024069417</v>
      </c>
      <c r="W50" s="216"/>
      <c r="X50" s="214"/>
      <c r="Y50" s="215"/>
      <c r="Z50" s="216"/>
    </row>
    <row r="51" spans="12:26" ht="23.4" x14ac:dyDescent="0.45">
      <c r="L51" s="261"/>
      <c r="M51" s="234">
        <v>3.4000000000000002E-2</v>
      </c>
      <c r="N51" s="236">
        <f t="shared" si="12"/>
        <v>97942978.47340405</v>
      </c>
      <c r="O51" s="237">
        <f t="shared" si="4"/>
        <v>23861993.829359401</v>
      </c>
      <c r="P51" s="237">
        <f t="shared" si="5"/>
        <v>14165282.334150063</v>
      </c>
      <c r="Q51" s="237">
        <f t="shared" si="6"/>
        <v>10321820.027346071</v>
      </c>
      <c r="R51" s="237">
        <f t="shared" si="7"/>
        <v>8248285.4703750284</v>
      </c>
      <c r="S51" s="237">
        <f t="shared" si="8"/>
        <v>6943244.7878134474</v>
      </c>
      <c r="T51" s="237">
        <f t="shared" si="9"/>
        <v>6041172.3049611123</v>
      </c>
      <c r="U51" s="237">
        <f t="shared" si="10"/>
        <v>5376872.9992049756</v>
      </c>
      <c r="V51" s="238">
        <f t="shared" si="11"/>
        <v>4864785.5582940876</v>
      </c>
      <c r="W51" s="216"/>
      <c r="X51" s="214"/>
      <c r="Y51" s="215"/>
      <c r="Z51" s="216"/>
    </row>
    <row r="52" spans="12:26" ht="23.4" x14ac:dyDescent="0.45">
      <c r="L52" s="261"/>
      <c r="M52" s="234">
        <v>3.6000000000000004E-2</v>
      </c>
      <c r="N52" s="236">
        <f t="shared" si="12"/>
        <v>144698028.40726534</v>
      </c>
      <c r="O52" s="237">
        <f t="shared" si="4"/>
        <v>25496898.924700629</v>
      </c>
      <c r="P52" s="237">
        <f t="shared" si="5"/>
        <v>14624350.500171693</v>
      </c>
      <c r="Q52" s="237">
        <f t="shared" si="6"/>
        <v>10522506.975198448</v>
      </c>
      <c r="R52" s="237">
        <f t="shared" si="7"/>
        <v>8355520.9781826762</v>
      </c>
      <c r="S52" s="237">
        <f t="shared" si="8"/>
        <v>7007564.3385280408</v>
      </c>
      <c r="T52" s="237">
        <f t="shared" si="9"/>
        <v>6082775.2702964069</v>
      </c>
      <c r="U52" s="237">
        <f t="shared" si="10"/>
        <v>5405257.4881285168</v>
      </c>
      <c r="V52" s="238">
        <f t="shared" si="11"/>
        <v>4884938.9570077499</v>
      </c>
      <c r="W52" s="216"/>
      <c r="X52" s="214"/>
      <c r="Y52" s="215"/>
      <c r="Z52" s="216"/>
    </row>
    <row r="53" spans="12:26" ht="24" thickBot="1" x14ac:dyDescent="0.5">
      <c r="L53" s="262"/>
      <c r="M53" s="235">
        <v>3.7999999999999999E-2</v>
      </c>
      <c r="N53" s="240">
        <f t="shared" si="12"/>
        <v>284963178.2088486</v>
      </c>
      <c r="O53" s="241">
        <f t="shared" si="4"/>
        <v>27429059.491922081</v>
      </c>
      <c r="P53" s="241">
        <f t="shared" si="5"/>
        <v>15127139.443909662</v>
      </c>
      <c r="Q53" s="241">
        <f t="shared" si="6"/>
        <v>10736141.468073562</v>
      </c>
      <c r="R53" s="241">
        <f t="shared" si="7"/>
        <v>8467987.4863711838</v>
      </c>
      <c r="S53" s="241">
        <f t="shared" si="8"/>
        <v>7074406.2245647758</v>
      </c>
      <c r="T53" s="241">
        <f t="shared" si="9"/>
        <v>6125742.2672820399</v>
      </c>
      <c r="U53" s="241">
        <f t="shared" si="10"/>
        <v>5434441.5401203278</v>
      </c>
      <c r="V53" s="242">
        <f t="shared" si="11"/>
        <v>4905589.9705044637</v>
      </c>
      <c r="W53" s="216"/>
      <c r="X53" s="214"/>
      <c r="Y53" s="215"/>
      <c r="Z53" s="216"/>
    </row>
    <row r="54" spans="12:26" ht="15" thickBot="1" x14ac:dyDescent="0.35">
      <c r="L54" s="217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9"/>
      <c r="X54" s="217"/>
      <c r="Y54" s="218"/>
      <c r="Z54" s="219"/>
    </row>
    <row r="62" spans="12:26" hidden="1" outlineLevel="1" x14ac:dyDescent="0.3">
      <c r="L62" s="227"/>
      <c r="M62" s="228"/>
      <c r="N62" s="228"/>
      <c r="O62" s="228"/>
      <c r="P62" s="228"/>
      <c r="Q62" s="229" t="s">
        <v>248</v>
      </c>
      <c r="R62" t="s">
        <v>1</v>
      </c>
    </row>
    <row r="63" spans="12:26" ht="15" hidden="1" outlineLevel="1" thickBot="1" x14ac:dyDescent="0.35">
      <c r="L63" s="224">
        <f>VALUATION!H171</f>
        <v>1708296.6160012253</v>
      </c>
      <c r="M63" s="224">
        <f>VALUATION!I171</f>
        <v>1734448.6614208228</v>
      </c>
      <c r="N63" s="224">
        <f>VALUATION!J171</f>
        <v>1543569.432687242</v>
      </c>
      <c r="O63" s="224">
        <f>VALUATION!K171</f>
        <v>1235849.8456826282</v>
      </c>
      <c r="P63" s="224">
        <f>VALUATION!L171</f>
        <v>990679.0825705129</v>
      </c>
      <c r="Q63" s="225">
        <f>(VALUATION!$M$171*(1+CENÁRIOS!$M41)/(CENÁRIOS!N$40-CENÁRIOS!$M41))</f>
        <v>26622024.251420129</v>
      </c>
    </row>
    <row r="64" spans="12:26" ht="15" hidden="1" outlineLevel="1" thickBot="1" x14ac:dyDescent="0.35">
      <c r="L64" s="224">
        <v>1299071.4097975232</v>
      </c>
      <c r="M64" s="224">
        <v>1275149.8725277456</v>
      </c>
      <c r="N64" s="224">
        <v>1142391.6276273294</v>
      </c>
      <c r="O64" s="224">
        <v>997890.43526979641</v>
      </c>
      <c r="P64" s="224">
        <v>822119.33411342243</v>
      </c>
      <c r="Q64" s="225">
        <f>(VALUATION!$M$171*(1+CENÁRIOS!$M42)/(CENÁRIOS!N$40-CENÁRIOS!$M42))</f>
        <v>28897410.939575695</v>
      </c>
    </row>
    <row r="65" spans="12:18" ht="15" hidden="1" outlineLevel="1" thickBot="1" x14ac:dyDescent="0.35">
      <c r="L65" s="224">
        <v>1299071.4097975232</v>
      </c>
      <c r="M65" s="224">
        <v>1275149.8725277456</v>
      </c>
      <c r="N65" s="224">
        <v>1142391.6276273294</v>
      </c>
      <c r="O65" s="224">
        <v>997890.43526979641</v>
      </c>
      <c r="P65" s="224">
        <v>822119.33411342243</v>
      </c>
      <c r="Q65" s="225">
        <f>(VALUATION!$M$171*(1+CENÁRIOS!$M43)/(CENÁRIOS!N$40-CENÁRIOS!$M43))</f>
        <v>31586504.298305005</v>
      </c>
    </row>
    <row r="66" spans="12:18" ht="15" hidden="1" outlineLevel="1" thickBot="1" x14ac:dyDescent="0.35">
      <c r="L66" s="224">
        <v>1299071.4097975232</v>
      </c>
      <c r="M66" s="224">
        <v>1275149.8725277456</v>
      </c>
      <c r="N66" s="224">
        <v>1142391.6276273294</v>
      </c>
      <c r="O66" s="224">
        <v>997890.43526979641</v>
      </c>
      <c r="P66" s="224">
        <v>822119.33411342243</v>
      </c>
      <c r="Q66" s="225">
        <f>(VALUATION!$M$171*(1+CENÁRIOS!$M44)/(CENÁRIOS!N$40-CENÁRIOS!$M44))</f>
        <v>34813416.328780174</v>
      </c>
    </row>
    <row r="67" spans="12:18" ht="15" hidden="1" outlineLevel="1" thickBot="1" x14ac:dyDescent="0.35">
      <c r="L67" s="224">
        <v>1299071.4097975232</v>
      </c>
      <c r="M67" s="224">
        <v>1275149.8725277456</v>
      </c>
      <c r="N67" s="224">
        <v>1142391.6276273294</v>
      </c>
      <c r="O67" s="224">
        <v>997890.43526979641</v>
      </c>
      <c r="P67" s="224">
        <v>822119.33411342243</v>
      </c>
      <c r="Q67" s="225">
        <f>(VALUATION!$M$171*(1+CENÁRIOS!$M45)/(CENÁRIOS!N$40-CENÁRIOS!$M45))</f>
        <v>38757419.921583146</v>
      </c>
    </row>
    <row r="68" spans="12:18" ht="15" hidden="1" outlineLevel="1" thickBot="1" x14ac:dyDescent="0.35">
      <c r="L68" s="224">
        <v>1299071.4097975232</v>
      </c>
      <c r="M68" s="224">
        <v>1275149.8725277456</v>
      </c>
      <c r="N68" s="224">
        <v>1142391.6276273294</v>
      </c>
      <c r="O68" s="224">
        <v>997890.43526979641</v>
      </c>
      <c r="P68" s="224">
        <v>822119.33411342243</v>
      </c>
      <c r="Q68" s="225">
        <f>(VALUATION!$M$171*(1+CENÁRIOS!$M46)/(CENÁRIOS!N$40-CENÁRIOS!$M46))</f>
        <v>43687424.412586883</v>
      </c>
    </row>
    <row r="69" spans="12:18" ht="15" hidden="1" outlineLevel="1" thickBot="1" x14ac:dyDescent="0.35">
      <c r="L69" s="224">
        <v>1299071.4097975232</v>
      </c>
      <c r="M69" s="224">
        <v>1275149.8725277456</v>
      </c>
      <c r="N69" s="224">
        <v>1142391.6276273294</v>
      </c>
      <c r="O69" s="224">
        <v>997890.43526979641</v>
      </c>
      <c r="P69" s="224">
        <v>822119.33411342243</v>
      </c>
      <c r="Q69" s="225">
        <f>(VALUATION!$M$171*(1+CENÁRIOS!$M47)/(CENÁRIOS!N$40-CENÁRIOS!$M47))</f>
        <v>50026001.615305953</v>
      </c>
    </row>
    <row r="70" spans="12:18" ht="15" hidden="1" outlineLevel="1" thickBot="1" x14ac:dyDescent="0.35">
      <c r="L70" s="224">
        <v>1299071.4097975232</v>
      </c>
      <c r="M70" s="224">
        <v>1275149.8725277456</v>
      </c>
      <c r="N70" s="224">
        <v>1142391.6276273294</v>
      </c>
      <c r="O70" s="224">
        <v>997890.43526979641</v>
      </c>
      <c r="P70" s="224">
        <v>822119.33411342243</v>
      </c>
      <c r="Q70" s="225">
        <f>(VALUATION!$M$171*(1+CENÁRIOS!$M48)/(CENÁRIOS!N$40-CENÁRIOS!$M48))</f>
        <v>58477437.885598063</v>
      </c>
    </row>
    <row r="71" spans="12:18" ht="15" hidden="1" outlineLevel="1" thickBot="1" x14ac:dyDescent="0.35">
      <c r="L71" s="224">
        <v>1299071.4097975232</v>
      </c>
      <c r="M71" s="224">
        <v>1275149.8725277456</v>
      </c>
      <c r="N71" s="224">
        <v>1142391.6276273294</v>
      </c>
      <c r="O71" s="224">
        <v>997890.43526979641</v>
      </c>
      <c r="P71" s="224">
        <v>822119.33411342243</v>
      </c>
      <c r="Q71" s="225">
        <f>(VALUATION!$M$171*(1+CENÁRIOS!$M49)/(CENÁRIOS!N$40-CENÁRIOS!$M49))</f>
        <v>70309448.664007008</v>
      </c>
    </row>
    <row r="72" spans="12:18" ht="15" hidden="1" outlineLevel="1" thickBot="1" x14ac:dyDescent="0.35">
      <c r="L72" s="224">
        <v>1299071.4097975232</v>
      </c>
      <c r="M72" s="224">
        <v>1275149.8725277456</v>
      </c>
      <c r="N72" s="224">
        <v>1142391.6276273294</v>
      </c>
      <c r="O72" s="224">
        <v>997890.43526979641</v>
      </c>
      <c r="P72" s="224">
        <v>822119.33411342243</v>
      </c>
      <c r="Q72" s="225">
        <f>(VALUATION!$M$171*(1+CENÁRIOS!$M50)/(CENÁRIOS!N$40-CENÁRIOS!$M50))</f>
        <v>88057464.83162044</v>
      </c>
    </row>
    <row r="73" spans="12:18" ht="15" hidden="1" outlineLevel="1" thickBot="1" x14ac:dyDescent="0.35">
      <c r="L73" s="224">
        <v>1299071.4097975232</v>
      </c>
      <c r="M73" s="224">
        <v>1275149.8725277456</v>
      </c>
      <c r="N73" s="224">
        <v>1142391.6276273294</v>
      </c>
      <c r="O73" s="224">
        <v>997890.43526979641</v>
      </c>
      <c r="P73" s="224">
        <v>822119.33411342243</v>
      </c>
      <c r="Q73" s="225">
        <f>(VALUATION!$M$171*(1+CENÁRIOS!$M51)/(CENÁRIOS!N$40-CENÁRIOS!$M51))</f>
        <v>117637491.77764283</v>
      </c>
    </row>
    <row r="74" spans="12:18" ht="15" hidden="1" outlineLevel="1" thickBot="1" x14ac:dyDescent="0.35">
      <c r="L74" s="224">
        <v>1299071.4097975232</v>
      </c>
      <c r="M74" s="224">
        <v>1275149.8725277456</v>
      </c>
      <c r="N74" s="224">
        <v>1142391.6276273294</v>
      </c>
      <c r="O74" s="224">
        <v>997890.43526979641</v>
      </c>
      <c r="P74" s="224">
        <v>822119.33411342243</v>
      </c>
      <c r="Q74" s="225">
        <f>(VALUATION!$M$171*(1+CENÁRIOS!$M52)/(CENÁRIOS!N$40-CENÁRIOS!$M52))</f>
        <v>176797545.66968769</v>
      </c>
    </row>
    <row r="75" spans="12:18" ht="15" hidden="1" outlineLevel="1" thickBot="1" x14ac:dyDescent="0.35">
      <c r="L75" s="224">
        <v>1299071.4097975232</v>
      </c>
      <c r="M75" s="224">
        <v>1275149.8725277456</v>
      </c>
      <c r="N75" s="224">
        <v>1142391.6276273294</v>
      </c>
      <c r="O75" s="224">
        <v>997890.43526979641</v>
      </c>
      <c r="P75" s="224">
        <v>822119.33411342243</v>
      </c>
      <c r="Q75" s="225">
        <f>(VALUATION!$M$171*(1+CENÁRIOS!$M53)/(CENÁRIOS!N$40-CENÁRIOS!$M53))</f>
        <v>354277707.34582144</v>
      </c>
    </row>
    <row r="76" spans="12:18" hidden="1" outlineLevel="1" x14ac:dyDescent="0.3">
      <c r="L76" s="227"/>
      <c r="M76" s="228"/>
      <c r="N76" s="228"/>
      <c r="O76" s="228"/>
      <c r="P76" s="228"/>
      <c r="Q76" s="229" t="s">
        <v>249</v>
      </c>
      <c r="R76" t="s">
        <v>1</v>
      </c>
    </row>
    <row r="77" spans="12:18" ht="15" hidden="1" outlineLevel="1" thickBot="1" x14ac:dyDescent="0.35">
      <c r="L77" s="224">
        <v>1299071.4097975232</v>
      </c>
      <c r="M77" s="224">
        <v>1275149.8725277456</v>
      </c>
      <c r="N77" s="224">
        <v>1142391.6276273294</v>
      </c>
      <c r="O77" s="224">
        <v>997890.43526979641</v>
      </c>
      <c r="P77" s="224">
        <v>822119.33411342243</v>
      </c>
      <c r="Q77" s="225">
        <f>(VALUATION!$M$171*(1+CENÁRIOS!$M41)/(CENÁRIOS!O$40-CENÁRIOS!$M41))</f>
        <v>15047231.098628771</v>
      </c>
    </row>
    <row r="78" spans="12:18" ht="15" hidden="1" outlineLevel="1" thickBot="1" x14ac:dyDescent="0.35">
      <c r="L78" s="224">
        <v>1299071.4097975232</v>
      </c>
      <c r="M78" s="224">
        <v>1275149.8725277456</v>
      </c>
      <c r="N78" s="224">
        <v>1142391.6276273294</v>
      </c>
      <c r="O78" s="224">
        <v>997890.43526979641</v>
      </c>
      <c r="P78" s="224">
        <v>822119.33411342243</v>
      </c>
      <c r="Q78" s="225">
        <f>(VALUATION!$M$171*(1+CENÁRIOS!$M42)/(CENÁRIOS!O$40-CENÁRIOS!$M42))</f>
        <v>15762224.148859471</v>
      </c>
    </row>
    <row r="79" spans="12:18" ht="15" hidden="1" outlineLevel="1" thickBot="1" x14ac:dyDescent="0.35">
      <c r="L79" s="224">
        <v>1299071.4097975232</v>
      </c>
      <c r="M79" s="224">
        <v>1275149.8725277456</v>
      </c>
      <c r="N79" s="224">
        <v>1142391.6276273294</v>
      </c>
      <c r="O79" s="224">
        <v>997890.43526979641</v>
      </c>
      <c r="P79" s="224">
        <v>822119.33411342243</v>
      </c>
      <c r="Q79" s="225">
        <f>(VALUATION!$M$171*(1+CENÁRIOS!$M43)/(CENÁRIOS!O$40-CENÁRIOS!$M43))</f>
        <v>16545311.775302624</v>
      </c>
    </row>
    <row r="80" spans="12:18" ht="15" hidden="1" outlineLevel="1" thickBot="1" x14ac:dyDescent="0.35">
      <c r="L80" s="224">
        <v>1299071.4097975232</v>
      </c>
      <c r="M80" s="224">
        <v>1275149.8725277456</v>
      </c>
      <c r="N80" s="224">
        <v>1142391.6276273294</v>
      </c>
      <c r="O80" s="224">
        <v>997890.43526979641</v>
      </c>
      <c r="P80" s="224">
        <v>822119.33411342243</v>
      </c>
      <c r="Q80" s="225">
        <f>(VALUATION!$M$171*(1+CENÁRIOS!$M44)/(CENÁRIOS!O$40-CENÁRIOS!$M44))</f>
        <v>17406708.164390087</v>
      </c>
    </row>
    <row r="81" spans="12:18" ht="15" hidden="1" outlineLevel="1" thickBot="1" x14ac:dyDescent="0.35">
      <c r="L81" s="224">
        <v>1299071.4097975232</v>
      </c>
      <c r="M81" s="224">
        <v>1275149.8725277456</v>
      </c>
      <c r="N81" s="224">
        <v>1142391.6276273294</v>
      </c>
      <c r="O81" s="224">
        <v>997890.43526979641</v>
      </c>
      <c r="P81" s="224">
        <v>822119.33411342243</v>
      </c>
      <c r="Q81" s="225">
        <f>(VALUATION!$M$171*(1+CENÁRIOS!$M45)/(CENÁRIOS!O$40-CENÁRIOS!$M45))</f>
        <v>18358777.85759202</v>
      </c>
    </row>
    <row r="82" spans="12:18" ht="15" hidden="1" outlineLevel="1" thickBot="1" x14ac:dyDescent="0.35">
      <c r="L82" s="224">
        <v>1299071.4097975232</v>
      </c>
      <c r="M82" s="224">
        <v>1275149.8725277456</v>
      </c>
      <c r="N82" s="224">
        <v>1142391.6276273294</v>
      </c>
      <c r="O82" s="224">
        <v>997890.43526979641</v>
      </c>
      <c r="P82" s="224">
        <v>822119.33411342243</v>
      </c>
      <c r="Q82" s="225">
        <f>(VALUATION!$M$171*(1+CENÁRIOS!$M46)/(CENÁRIOS!O$40-CENÁRIOS!$M46))</f>
        <v>19416633.072260838</v>
      </c>
    </row>
    <row r="83" spans="12:18" ht="15" hidden="1" outlineLevel="1" thickBot="1" x14ac:dyDescent="0.35">
      <c r="L83" s="224">
        <v>1299071.4097975232</v>
      </c>
      <c r="M83" s="224">
        <v>1275149.8725277456</v>
      </c>
      <c r="N83" s="224">
        <v>1142391.6276273294</v>
      </c>
      <c r="O83" s="224">
        <v>997890.43526979641</v>
      </c>
      <c r="P83" s="224">
        <v>822119.33411342243</v>
      </c>
      <c r="Q83" s="225">
        <f>(VALUATION!$M$171*(1+CENÁRIOS!$M47)/(CENÁRIOS!O$40-CENÁRIOS!$M47))</f>
        <v>20598941.84159657</v>
      </c>
    </row>
    <row r="84" spans="12:18" ht="15" hidden="1" outlineLevel="1" thickBot="1" x14ac:dyDescent="0.35">
      <c r="L84" s="224">
        <v>1299071.4097975232</v>
      </c>
      <c r="M84" s="224">
        <v>1275149.8725277456</v>
      </c>
      <c r="N84" s="224">
        <v>1142391.6276273294</v>
      </c>
      <c r="O84" s="224">
        <v>997890.43526979641</v>
      </c>
      <c r="P84" s="224">
        <v>822119.33411342243</v>
      </c>
      <c r="Q84" s="225">
        <f>(VALUATION!$M$171*(1+CENÁRIOS!$M48)/(CENÁRIOS!O$40-CENÁRIOS!$M48))</f>
        <v>21929039.207099274</v>
      </c>
    </row>
    <row r="85" spans="12:18" ht="15" hidden="1" outlineLevel="1" thickBot="1" x14ac:dyDescent="0.35">
      <c r="L85" s="224">
        <v>1299071.4097975232</v>
      </c>
      <c r="M85" s="224">
        <v>1275149.8725277456</v>
      </c>
      <c r="N85" s="224">
        <v>1142391.6276273294</v>
      </c>
      <c r="O85" s="224">
        <v>997890.43526979641</v>
      </c>
      <c r="P85" s="224">
        <v>822119.33411342243</v>
      </c>
      <c r="Q85" s="225">
        <f>(VALUATION!$M$171*(1+CENÁRIOS!$M49)/(CENÁRIOS!O$40-CENÁRIOS!$M49))</f>
        <v>23436482.88800234</v>
      </c>
    </row>
    <row r="86" spans="12:18" ht="15" hidden="1" outlineLevel="1" thickBot="1" x14ac:dyDescent="0.35">
      <c r="L86" s="224">
        <v>1299071.4097975232</v>
      </c>
      <c r="M86" s="224">
        <v>1275149.8725277456</v>
      </c>
      <c r="N86" s="224">
        <v>1142391.6276273294</v>
      </c>
      <c r="O86" s="224">
        <v>997890.43526979641</v>
      </c>
      <c r="P86" s="224">
        <v>822119.33411342243</v>
      </c>
      <c r="Q86" s="225">
        <f>(VALUATION!$M$171*(1+CENÁRIOS!$M50)/(CENÁRIOS!O$40-CENÁRIOS!$M50))</f>
        <v>25159275.666177273</v>
      </c>
    </row>
    <row r="87" spans="12:18" ht="15" hidden="1" outlineLevel="1" thickBot="1" x14ac:dyDescent="0.35">
      <c r="L87" s="224">
        <v>1299071.4097975232</v>
      </c>
      <c r="M87" s="224">
        <v>1275149.8725277456</v>
      </c>
      <c r="N87" s="224">
        <v>1142391.6276273294</v>
      </c>
      <c r="O87" s="224">
        <v>997890.43526979641</v>
      </c>
      <c r="P87" s="224">
        <v>822119.33411342243</v>
      </c>
      <c r="Q87" s="225">
        <f>(VALUATION!$M$171*(1+CENÁRIOS!$M51)/(CENÁRIOS!O$40-CENÁRIOS!$M51))</f>
        <v>27147113.487148345</v>
      </c>
    </row>
    <row r="88" spans="12:18" ht="15" hidden="1" outlineLevel="1" thickBot="1" x14ac:dyDescent="0.35">
      <c r="L88" s="224">
        <v>1299071.4097975232</v>
      </c>
      <c r="M88" s="224">
        <v>1275149.8725277456</v>
      </c>
      <c r="N88" s="224">
        <v>1142391.6276273294</v>
      </c>
      <c r="O88" s="224">
        <v>997890.43526979641</v>
      </c>
      <c r="P88" s="224">
        <v>822119.33411342243</v>
      </c>
      <c r="Q88" s="225">
        <f>(VALUATION!$M$171*(1+CENÁRIOS!$M52)/(CENÁRIOS!O$40-CENÁRIOS!$M52))</f>
        <v>29466257.611614596</v>
      </c>
    </row>
    <row r="89" spans="12:18" ht="15" hidden="1" outlineLevel="1" thickBot="1" x14ac:dyDescent="0.35">
      <c r="L89" s="224">
        <v>1299071.4097975232</v>
      </c>
      <c r="M89" s="224">
        <v>1275149.8725277456</v>
      </c>
      <c r="N89" s="224">
        <v>1142391.6276273294</v>
      </c>
      <c r="O89" s="224">
        <v>997890.43526979641</v>
      </c>
      <c r="P89" s="224">
        <v>822119.33411342243</v>
      </c>
      <c r="Q89" s="225">
        <f>(VALUATION!$M$171*(1+CENÁRIOS!$M53)/(CENÁRIOS!O$40-CENÁRIOS!$M53))</f>
        <v>32207064.304165617</v>
      </c>
    </row>
    <row r="90" spans="12:18" hidden="1" outlineLevel="1" x14ac:dyDescent="0.3">
      <c r="L90" s="227"/>
      <c r="M90" s="228"/>
      <c r="N90" s="228"/>
      <c r="O90" s="228"/>
      <c r="P90" s="228"/>
      <c r="Q90" s="229" t="s">
        <v>250</v>
      </c>
      <c r="R90" t="s">
        <v>1</v>
      </c>
    </row>
    <row r="91" spans="12:18" ht="15" hidden="1" outlineLevel="1" thickBot="1" x14ac:dyDescent="0.35">
      <c r="L91" s="224">
        <v>1299071.4097975232</v>
      </c>
      <c r="M91" s="224">
        <v>1275149.8725277456</v>
      </c>
      <c r="N91" s="224">
        <v>1142391.6276273294</v>
      </c>
      <c r="O91" s="224">
        <v>997890.43526979641</v>
      </c>
      <c r="P91" s="224">
        <v>822119.33411342243</v>
      </c>
      <c r="Q91" s="225">
        <f>(VALUATION!$M$171*(1+CENÁRIOS!$M41)/(CENÁRIOS!P$40-CENÁRIOS!$M41))</f>
        <v>10487464.099044293</v>
      </c>
    </row>
    <row r="92" spans="12:18" ht="15" hidden="1" outlineLevel="1" thickBot="1" x14ac:dyDescent="0.35">
      <c r="L92" s="224">
        <v>1299071.4097975232</v>
      </c>
      <c r="M92" s="224">
        <v>1275149.8725277456</v>
      </c>
      <c r="N92" s="224">
        <v>1142391.6276273294</v>
      </c>
      <c r="O92" s="224">
        <v>997890.43526979641</v>
      </c>
      <c r="P92" s="224">
        <v>822119.33411342243</v>
      </c>
      <c r="Q92" s="225">
        <f>(VALUATION!$M$171*(1+CENÁRIOS!$M42)/(CENÁRIOS!P$40-CENÁRIOS!$M42))</f>
        <v>10836529.102340886</v>
      </c>
    </row>
    <row r="93" spans="12:18" ht="15" hidden="1" outlineLevel="1" thickBot="1" x14ac:dyDescent="0.35">
      <c r="L93" s="224">
        <v>1299071.4097975232</v>
      </c>
      <c r="M93" s="224">
        <v>1275149.8725277456</v>
      </c>
      <c r="N93" s="224">
        <v>1142391.6276273294</v>
      </c>
      <c r="O93" s="224">
        <v>997890.43526979641</v>
      </c>
      <c r="P93" s="224">
        <v>822119.33411342243</v>
      </c>
      <c r="Q93" s="225">
        <f>(VALUATION!$M$171*(1+CENÁRIOS!$M43)/(CENÁRIOS!P$40-CENÁRIOS!$M43))</f>
        <v>11208114.428430809</v>
      </c>
    </row>
    <row r="94" spans="12:18" ht="15" hidden="1" outlineLevel="1" thickBot="1" x14ac:dyDescent="0.35">
      <c r="L94" s="224">
        <v>1299071.4097975232</v>
      </c>
      <c r="M94" s="224">
        <v>1275149.8725277456</v>
      </c>
      <c r="N94" s="224">
        <v>1142391.6276273294</v>
      </c>
      <c r="O94" s="224">
        <v>997890.43526979641</v>
      </c>
      <c r="P94" s="224">
        <v>822119.33411342243</v>
      </c>
      <c r="Q94" s="225">
        <f>(VALUATION!$M$171*(1+CENÁRIOS!$M44)/(CENÁRIOS!P$40-CENÁRIOS!$M44))</f>
        <v>11604472.109593391</v>
      </c>
    </row>
    <row r="95" spans="12:18" ht="15" hidden="1" outlineLevel="1" thickBot="1" x14ac:dyDescent="0.35">
      <c r="L95" s="224">
        <v>1299071.4097975232</v>
      </c>
      <c r="M95" s="224">
        <v>1275149.8725277456</v>
      </c>
      <c r="N95" s="224">
        <v>1142391.6276273294</v>
      </c>
      <c r="O95" s="224">
        <v>997890.43526979641</v>
      </c>
      <c r="P95" s="224">
        <v>822119.33411342243</v>
      </c>
      <c r="Q95" s="225">
        <f>(VALUATION!$M$171*(1+CENÁRIOS!$M45)/(CENÁRIOS!P$40-CENÁRIOS!$M45))</f>
        <v>12028164.803249944</v>
      </c>
    </row>
    <row r="96" spans="12:18" ht="15" hidden="1" outlineLevel="1" thickBot="1" x14ac:dyDescent="0.35">
      <c r="L96" s="224">
        <v>1299071.4097975232</v>
      </c>
      <c r="M96" s="224">
        <v>1275149.8725277456</v>
      </c>
      <c r="N96" s="224">
        <v>1142391.6276273294</v>
      </c>
      <c r="O96" s="224">
        <v>997890.43526979641</v>
      </c>
      <c r="P96" s="224">
        <v>822119.33411342243</v>
      </c>
      <c r="Q96" s="225">
        <f>(VALUATION!$M$171*(1+CENÁRIOS!$M46)/(CENÁRIOS!P$40-CENÁRIOS!$M46))</f>
        <v>12482121.26073911</v>
      </c>
    </row>
    <row r="97" spans="12:18" ht="15" hidden="1" outlineLevel="1" thickBot="1" x14ac:dyDescent="0.35">
      <c r="L97" s="224">
        <v>1299071.4097975232</v>
      </c>
      <c r="M97" s="224">
        <v>1275149.8725277456</v>
      </c>
      <c r="N97" s="224">
        <v>1142391.6276273294</v>
      </c>
      <c r="O97" s="224">
        <v>997890.43526979641</v>
      </c>
      <c r="P97" s="224">
        <v>822119.33411342243</v>
      </c>
      <c r="Q97" s="225">
        <f>(VALUATION!$M$171*(1+CENÁRIOS!$M47)/(CENÁRIOS!P$40-CENÁRIOS!$M47))</f>
        <v>12969704.122486729</v>
      </c>
    </row>
    <row r="98" spans="12:18" ht="15" hidden="1" outlineLevel="1" thickBot="1" x14ac:dyDescent="0.35">
      <c r="L98" s="224">
        <v>1299071.4097975232</v>
      </c>
      <c r="M98" s="224">
        <v>1275149.8725277456</v>
      </c>
      <c r="N98" s="224">
        <v>1142391.6276273294</v>
      </c>
      <c r="O98" s="224">
        <v>997890.43526979641</v>
      </c>
      <c r="P98" s="224">
        <v>822119.33411342243</v>
      </c>
      <c r="Q98" s="225">
        <f>(VALUATION!$M$171*(1+CENÁRIOS!$M48)/(CENÁRIOS!P$40-CENÁRIOS!$M48))</f>
        <v>13494793.358214937</v>
      </c>
    </row>
    <row r="99" spans="12:18" ht="15" hidden="1" outlineLevel="1" thickBot="1" x14ac:dyDescent="0.35">
      <c r="L99" s="224">
        <v>1299071.4097975232</v>
      </c>
      <c r="M99" s="224">
        <v>1275149.8725277456</v>
      </c>
      <c r="N99" s="224">
        <v>1142391.6276273294</v>
      </c>
      <c r="O99" s="224">
        <v>997890.43526979641</v>
      </c>
      <c r="P99" s="224">
        <v>822119.33411342243</v>
      </c>
      <c r="Q99" s="225">
        <f>(VALUATION!$M$171*(1+CENÁRIOS!$M49)/(CENÁRIOS!P$40-CENÁRIOS!$M49))</f>
        <v>14061889.732801404</v>
      </c>
    </row>
    <row r="100" spans="12:18" ht="15" hidden="1" outlineLevel="1" thickBot="1" x14ac:dyDescent="0.35">
      <c r="L100" s="224">
        <v>1299071.4097975232</v>
      </c>
      <c r="M100" s="224">
        <v>1275149.8725277456</v>
      </c>
      <c r="N100" s="224">
        <v>1142391.6276273294</v>
      </c>
      <c r="O100" s="224">
        <v>997890.43526979641</v>
      </c>
      <c r="P100" s="224">
        <v>822119.33411342243</v>
      </c>
      <c r="Q100" s="225">
        <f>(VALUATION!$M$171*(1+CENÁRIOS!$M50)/(CENÁRIOS!P$40-CENÁRIOS!$M50))</f>
        <v>14676244.138603406</v>
      </c>
    </row>
    <row r="101" spans="12:18" ht="15" hidden="1" outlineLevel="1" thickBot="1" x14ac:dyDescent="0.35">
      <c r="L101" s="224">
        <v>1299071.4097975232</v>
      </c>
      <c r="M101" s="224">
        <v>1275149.8725277456</v>
      </c>
      <c r="N101" s="224">
        <v>1142391.6276273294</v>
      </c>
      <c r="O101" s="224">
        <v>997890.43526979641</v>
      </c>
      <c r="P101" s="224">
        <v>822119.33411342243</v>
      </c>
      <c r="Q101" s="225">
        <f>(VALUATION!$M$171*(1+CENÁRIOS!$M51)/(CENÁRIOS!P$40-CENÁRIOS!$M51))</f>
        <v>15344020.666649062</v>
      </c>
    </row>
    <row r="102" spans="12:18" ht="15" hidden="1" outlineLevel="1" thickBot="1" x14ac:dyDescent="0.35">
      <c r="L102" s="224">
        <v>1299071.4097975232</v>
      </c>
      <c r="M102" s="224">
        <v>1275149.8725277456</v>
      </c>
      <c r="N102" s="224">
        <v>1142391.6276273294</v>
      </c>
      <c r="O102" s="224">
        <v>997890.43526979641</v>
      </c>
      <c r="P102" s="224">
        <v>822119.33411342243</v>
      </c>
      <c r="Q102" s="225">
        <f>(VALUATION!$M$171*(1+CENÁRIOS!$M52)/(CENÁRIOS!P$40-CENÁRIOS!$M52))</f>
        <v>16072504.151789777</v>
      </c>
    </row>
    <row r="103" spans="12:18" ht="15" hidden="1" outlineLevel="1" thickBot="1" x14ac:dyDescent="0.35">
      <c r="L103" s="224">
        <v>1299071.4097975232</v>
      </c>
      <c r="M103" s="224">
        <v>1275149.8725277456</v>
      </c>
      <c r="N103" s="224">
        <v>1142391.6276273294</v>
      </c>
      <c r="O103" s="224">
        <v>997890.43526979641</v>
      </c>
      <c r="P103" s="224">
        <v>822119.33411342243</v>
      </c>
      <c r="Q103" s="225">
        <f>(VALUATION!$M$171*(1+CENÁRIOS!$M53)/(CENÁRIOS!P$40-CENÁRIOS!$M53))</f>
        <v>16870367.016467702</v>
      </c>
    </row>
    <row r="104" spans="12:18" hidden="1" outlineLevel="1" x14ac:dyDescent="0.3">
      <c r="L104" s="227"/>
      <c r="M104" s="228"/>
      <c r="N104" s="228"/>
      <c r="O104" s="228"/>
      <c r="P104" s="228"/>
      <c r="Q104" s="229" t="s">
        <v>251</v>
      </c>
      <c r="R104" t="s">
        <v>1</v>
      </c>
    </row>
    <row r="105" spans="12:18" ht="15" hidden="1" outlineLevel="1" thickBot="1" x14ac:dyDescent="0.35">
      <c r="L105" s="224">
        <v>1299071.4097975232</v>
      </c>
      <c r="M105" s="224">
        <v>1275149.8725277456</v>
      </c>
      <c r="N105" s="224">
        <v>1142391.6276273294</v>
      </c>
      <c r="O105" s="224">
        <v>997890.43526979641</v>
      </c>
      <c r="P105" s="224">
        <v>822119.33411342243</v>
      </c>
      <c r="Q105" s="225">
        <f>(VALUATION!$M$171*(1+CENÁRIOS!$M41)/(CENÁRIOS!Q$40-CENÁRIOS!$M41))</f>
        <v>8048518.9597316673</v>
      </c>
    </row>
    <row r="106" spans="12:18" ht="15" hidden="1" outlineLevel="1" thickBot="1" x14ac:dyDescent="0.35">
      <c r="L106" s="224">
        <v>1299071.4097975232</v>
      </c>
      <c r="M106" s="224">
        <v>1275149.8725277456</v>
      </c>
      <c r="N106" s="224">
        <v>1142391.6276273294</v>
      </c>
      <c r="O106" s="224">
        <v>997890.43526979641</v>
      </c>
      <c r="P106" s="224">
        <v>822119.33411342243</v>
      </c>
      <c r="Q106" s="225">
        <f>(VALUATION!$M$171*(1+CENÁRIOS!$M42)/(CENÁRIOS!Q$40-CENÁRIOS!$M42))</f>
        <v>8256403.125593056</v>
      </c>
    </row>
    <row r="107" spans="12:18" ht="15" hidden="1" outlineLevel="1" thickBot="1" x14ac:dyDescent="0.35">
      <c r="L107" s="224">
        <v>1299071.4097975232</v>
      </c>
      <c r="M107" s="224">
        <v>1275149.8725277456</v>
      </c>
      <c r="N107" s="224">
        <v>1142391.6276273294</v>
      </c>
      <c r="O107" s="224">
        <v>997890.43526979641</v>
      </c>
      <c r="P107" s="224">
        <v>822119.33411342243</v>
      </c>
      <c r="Q107" s="225">
        <f>(VALUATION!$M$171*(1+CENÁRIOS!$M43)/(CENÁRIOS!Q$40-CENÁRIOS!$M43))</f>
        <v>8474427.9824720751</v>
      </c>
    </row>
    <row r="108" spans="12:18" ht="15" hidden="1" outlineLevel="1" thickBot="1" x14ac:dyDescent="0.35">
      <c r="L108" s="224">
        <v>1299071.4097975232</v>
      </c>
      <c r="M108" s="224">
        <v>1275149.8725277456</v>
      </c>
      <c r="N108" s="224">
        <v>1142391.6276273294</v>
      </c>
      <c r="O108" s="224">
        <v>997890.43526979641</v>
      </c>
      <c r="P108" s="224">
        <v>822119.33411342243</v>
      </c>
      <c r="Q108" s="225">
        <f>(VALUATION!$M$171*(1+CENÁRIOS!$M44)/(CENÁRIOS!Q$40-CENÁRIOS!$M44))</f>
        <v>8703354.0821950436</v>
      </c>
    </row>
    <row r="109" spans="12:18" ht="15" hidden="1" outlineLevel="1" thickBot="1" x14ac:dyDescent="0.35">
      <c r="L109" s="224">
        <v>1299071.4097975232</v>
      </c>
      <c r="M109" s="224">
        <v>1275149.8725277456</v>
      </c>
      <c r="N109" s="224">
        <v>1142391.6276273294</v>
      </c>
      <c r="O109" s="224">
        <v>997890.43526979641</v>
      </c>
      <c r="P109" s="224">
        <v>822119.33411342243</v>
      </c>
      <c r="Q109" s="225">
        <f>(VALUATION!$M$171*(1+CENÁRIOS!$M45)/(CENÁRIOS!Q$40-CENÁRIOS!$M45))</f>
        <v>8944019.9819038026</v>
      </c>
    </row>
    <row r="110" spans="12:18" ht="15" hidden="1" outlineLevel="1" thickBot="1" x14ac:dyDescent="0.35">
      <c r="L110" s="224">
        <v>1299071.4097975232</v>
      </c>
      <c r="M110" s="224">
        <v>1275149.8725277456</v>
      </c>
      <c r="N110" s="224">
        <v>1142391.6276273294</v>
      </c>
      <c r="O110" s="224">
        <v>997890.43526979641</v>
      </c>
      <c r="P110" s="224">
        <v>822119.33411342243</v>
      </c>
      <c r="Q110" s="225">
        <f>(VALUATION!$M$171*(1+CENÁRIOS!$M46)/(CENÁRIOS!Q$40-CENÁRIOS!$M46))</f>
        <v>9197352.507913027</v>
      </c>
    </row>
    <row r="111" spans="12:18" ht="15" hidden="1" outlineLevel="1" thickBot="1" x14ac:dyDescent="0.35">
      <c r="L111" s="224">
        <v>1299071.4097975232</v>
      </c>
      <c r="M111" s="224">
        <v>1275149.8725277456</v>
      </c>
      <c r="N111" s="224">
        <v>1142391.6276273294</v>
      </c>
      <c r="O111" s="224">
        <v>997890.43526979641</v>
      </c>
      <c r="P111" s="224">
        <v>822119.33411342243</v>
      </c>
      <c r="Q111" s="225">
        <f>(VALUATION!$M$171*(1+CENÁRIOS!$M47)/(CENÁRIOS!Q$40-CENÁRIOS!$M47))</f>
        <v>9464378.683976803</v>
      </c>
    </row>
    <row r="112" spans="12:18" ht="15" hidden="1" outlineLevel="1" thickBot="1" x14ac:dyDescent="0.35">
      <c r="L112" s="224">
        <v>1299071.4097975232</v>
      </c>
      <c r="M112" s="224">
        <v>1275149.8725277456</v>
      </c>
      <c r="N112" s="224">
        <v>1142391.6276273294</v>
      </c>
      <c r="O112" s="224">
        <v>997890.43526979641</v>
      </c>
      <c r="P112" s="224">
        <v>822119.33411342243</v>
      </c>
      <c r="Q112" s="225">
        <f>(VALUATION!$M$171*(1+CENÁRIOS!$M48)/(CENÁRIOS!Q$40-CENÁRIOS!$M48))</f>
        <v>9746239.6475996766</v>
      </c>
    </row>
    <row r="113" spans="12:18" ht="15" hidden="1" outlineLevel="1" thickBot="1" x14ac:dyDescent="0.35">
      <c r="L113" s="224">
        <v>1299071.4097975232</v>
      </c>
      <c r="M113" s="224">
        <v>1275149.8725277456</v>
      </c>
      <c r="N113" s="224">
        <v>1142391.6276273294</v>
      </c>
      <c r="O113" s="224">
        <v>997890.43526979641</v>
      </c>
      <c r="P113" s="224">
        <v>822119.33411342243</v>
      </c>
      <c r="Q113" s="225">
        <f>(VALUATION!$M$171*(1+CENÁRIOS!$M49)/(CENÁRIOS!Q$40-CENÁRIOS!$M49))</f>
        <v>10044206.952001002</v>
      </c>
    </row>
    <row r="114" spans="12:18" ht="15" hidden="1" outlineLevel="1" thickBot="1" x14ac:dyDescent="0.35">
      <c r="L114" s="224">
        <v>1299071.4097975232</v>
      </c>
      <c r="M114" s="224">
        <v>1275149.8725277456</v>
      </c>
      <c r="N114" s="224">
        <v>1142391.6276273294</v>
      </c>
      <c r="O114" s="224">
        <v>997890.43526979641</v>
      </c>
      <c r="P114" s="224">
        <v>822119.33411342243</v>
      </c>
      <c r="Q114" s="225">
        <f>(VALUATION!$M$171*(1+CENÁRIOS!$M50)/(CENÁRIOS!Q$40-CENÁRIOS!$M50))</f>
        <v>10359701.744896522</v>
      </c>
    </row>
    <row r="115" spans="12:18" ht="15" hidden="1" outlineLevel="1" thickBot="1" x14ac:dyDescent="0.35">
      <c r="L115" s="224">
        <v>1299071.4097975232</v>
      </c>
      <c r="M115" s="224">
        <v>1275149.8725277456</v>
      </c>
      <c r="N115" s="224">
        <v>1142391.6276273294</v>
      </c>
      <c r="O115" s="224">
        <v>997890.43526979641</v>
      </c>
      <c r="P115" s="224">
        <v>822119.33411342243</v>
      </c>
      <c r="Q115" s="225">
        <f>(VALUATION!$M$171*(1+CENÁRIOS!$M51)/(CENÁRIOS!Q$40-CENÁRIOS!$M51))</f>
        <v>10694317.434331164</v>
      </c>
    </row>
    <row r="116" spans="12:18" ht="15" hidden="1" outlineLevel="1" thickBot="1" x14ac:dyDescent="0.35">
      <c r="L116" s="224">
        <v>1299071.4097975232</v>
      </c>
      <c r="M116" s="224">
        <v>1275149.8725277456</v>
      </c>
      <c r="N116" s="224">
        <v>1142391.6276273294</v>
      </c>
      <c r="O116" s="224">
        <v>997890.43526979641</v>
      </c>
      <c r="P116" s="224">
        <v>822119.33411342243</v>
      </c>
      <c r="Q116" s="225">
        <f>(VALUATION!$M$171*(1+CENÁRIOS!$M52)/(CENÁRIOS!Q$40-CENÁRIOS!$M52))</f>
        <v>11049846.604355471</v>
      </c>
    </row>
    <row r="117" spans="12:18" ht="15" hidden="1" outlineLevel="1" thickBot="1" x14ac:dyDescent="0.35">
      <c r="L117" s="224">
        <v>1299071.4097975232</v>
      </c>
      <c r="M117" s="224">
        <v>1275149.8725277456</v>
      </c>
      <c r="N117" s="224">
        <v>1142391.6276273294</v>
      </c>
      <c r="O117" s="224">
        <v>997890.43526979641</v>
      </c>
      <c r="P117" s="224">
        <v>822119.33411342243</v>
      </c>
      <c r="Q117" s="225">
        <f>(VALUATION!$M$171*(1+CENÁRIOS!$M53)/(CENÁRIOS!Q$40-CENÁRIOS!$M53))</f>
        <v>11428313.140187798</v>
      </c>
    </row>
    <row r="118" spans="12:18" hidden="1" outlineLevel="1" x14ac:dyDescent="0.3">
      <c r="L118" s="227"/>
      <c r="M118" s="228"/>
      <c r="N118" s="228"/>
      <c r="O118" s="228"/>
      <c r="P118" s="228"/>
      <c r="Q118" s="229" t="s">
        <v>252</v>
      </c>
      <c r="R118" t="s">
        <v>1</v>
      </c>
    </row>
    <row r="119" spans="12:18" ht="15" hidden="1" outlineLevel="1" thickBot="1" x14ac:dyDescent="0.35">
      <c r="L119" s="224">
        <v>1299071.4097975232</v>
      </c>
      <c r="M119" s="224">
        <v>1275149.8725277456</v>
      </c>
      <c r="N119" s="224">
        <v>1142391.6276273294</v>
      </c>
      <c r="O119" s="224">
        <v>997890.43526979641</v>
      </c>
      <c r="P119" s="224">
        <v>822119.33411342243</v>
      </c>
      <c r="Q119" s="225">
        <f>(VALUATION!$M$171*(1+CENÁRIOS!$M41)/(CENÁRIOS!R$40-CENÁRIOS!$M41))</f>
        <v>6529930.4767634291</v>
      </c>
    </row>
    <row r="120" spans="12:18" ht="15" hidden="1" outlineLevel="1" thickBot="1" x14ac:dyDescent="0.35">
      <c r="L120" s="224">
        <v>1299071.4097975232</v>
      </c>
      <c r="M120" s="224">
        <v>1275149.8725277456</v>
      </c>
      <c r="N120" s="224">
        <v>1142391.6276273294</v>
      </c>
      <c r="O120" s="224">
        <v>997890.43526979641</v>
      </c>
      <c r="P120" s="224">
        <v>822119.33411342243</v>
      </c>
      <c r="Q120" s="225">
        <f>(VALUATION!$M$171*(1+CENÁRIOS!$M42)/(CENÁRIOS!R$40-CENÁRIOS!$M42))</f>
        <v>6668633.2937482381</v>
      </c>
    </row>
    <row r="121" spans="12:18" ht="15" hidden="1" outlineLevel="1" thickBot="1" x14ac:dyDescent="0.35">
      <c r="L121" s="224">
        <v>1299071.4097975232</v>
      </c>
      <c r="M121" s="224">
        <v>1275149.8725277456</v>
      </c>
      <c r="N121" s="224">
        <v>1142391.6276273294</v>
      </c>
      <c r="O121" s="224">
        <v>997890.43526979641</v>
      </c>
      <c r="P121" s="224">
        <v>822119.33411342243</v>
      </c>
      <c r="Q121" s="225">
        <f>(VALUATION!$M$171*(1+CENÁRIOS!$M43)/(CENÁRIOS!R$40-CENÁRIOS!$M43))</f>
        <v>6812775.436889316</v>
      </c>
    </row>
    <row r="122" spans="12:18" ht="15" hidden="1" outlineLevel="1" thickBot="1" x14ac:dyDescent="0.35">
      <c r="L122" s="224">
        <v>1299071.4097975232</v>
      </c>
      <c r="M122" s="224">
        <v>1275149.8725277456</v>
      </c>
      <c r="N122" s="224">
        <v>1142391.6276273294</v>
      </c>
      <c r="O122" s="224">
        <v>997890.43526979641</v>
      </c>
      <c r="P122" s="224">
        <v>822119.33411342243</v>
      </c>
      <c r="Q122" s="225">
        <f>(VALUATION!$M$171*(1+CENÁRIOS!$M44)/(CENÁRIOS!R$40-CENÁRIOS!$M44))</f>
        <v>6962683.2657560352</v>
      </c>
    </row>
    <row r="123" spans="12:18" ht="15" hidden="1" outlineLevel="1" thickBot="1" x14ac:dyDescent="0.35">
      <c r="L123" s="224">
        <v>1299071.4097975232</v>
      </c>
      <c r="M123" s="224">
        <v>1275149.8725277456</v>
      </c>
      <c r="N123" s="224">
        <v>1142391.6276273294</v>
      </c>
      <c r="O123" s="224">
        <v>997890.43526979641</v>
      </c>
      <c r="P123" s="224">
        <v>822119.33411342243</v>
      </c>
      <c r="Q123" s="225">
        <f>(VALUATION!$M$171*(1+CENÁRIOS!$M45)/(CENÁRIOS!R$40-CENÁRIOS!$M45))</f>
        <v>7118709.7815152723</v>
      </c>
    </row>
    <row r="124" spans="12:18" ht="15" hidden="1" outlineLevel="1" thickBot="1" x14ac:dyDescent="0.35">
      <c r="L124" s="224">
        <v>1299071.4097975232</v>
      </c>
      <c r="M124" s="224">
        <v>1275149.8725277456</v>
      </c>
      <c r="N124" s="224">
        <v>1142391.6276273294</v>
      </c>
      <c r="O124" s="224">
        <v>997890.43526979641</v>
      </c>
      <c r="P124" s="224">
        <v>822119.33411342243</v>
      </c>
      <c r="Q124" s="225">
        <f>(VALUATION!$M$171*(1+CENÁRIOS!$M46)/(CENÁRIOS!R$40-CENÁRIOS!$M46))</f>
        <v>7281237.4020978138</v>
      </c>
    </row>
    <row r="125" spans="12:18" ht="15" hidden="1" outlineLevel="1" thickBot="1" x14ac:dyDescent="0.35">
      <c r="L125" s="224">
        <v>1299071.4097975232</v>
      </c>
      <c r="M125" s="224">
        <v>1275149.8725277456</v>
      </c>
      <c r="N125" s="224">
        <v>1142391.6276273294</v>
      </c>
      <c r="O125" s="224">
        <v>997890.43526979641</v>
      </c>
      <c r="P125" s="224">
        <v>822119.33411342243</v>
      </c>
      <c r="Q125" s="225">
        <f>(VALUATION!$M$171*(1+CENÁRIOS!$M47)/(CENÁRIOS!R$40-CENÁRIOS!$M47))</f>
        <v>7450681.0916413134</v>
      </c>
    </row>
    <row r="126" spans="12:18" ht="15" hidden="1" outlineLevel="1" thickBot="1" x14ac:dyDescent="0.35">
      <c r="L126" s="224">
        <v>1299071.4097975232</v>
      </c>
      <c r="M126" s="224">
        <v>1275149.8725277456</v>
      </c>
      <c r="N126" s="224">
        <v>1142391.6276273294</v>
      </c>
      <c r="O126" s="224">
        <v>997890.43526979641</v>
      </c>
      <c r="P126" s="224">
        <v>822119.33411342243</v>
      </c>
      <c r="Q126" s="225">
        <f>(VALUATION!$M$171*(1+CENÁRIOS!$M48)/(CENÁRIOS!R$40-CENÁRIOS!$M48))</f>
        <v>7627491.8981214873</v>
      </c>
    </row>
    <row r="127" spans="12:18" ht="15" hidden="1" outlineLevel="1" thickBot="1" x14ac:dyDescent="0.35">
      <c r="L127" s="224">
        <v>1299071.4097975232</v>
      </c>
      <c r="M127" s="224">
        <v>1275149.8725277456</v>
      </c>
      <c r="N127" s="224">
        <v>1142391.6276273294</v>
      </c>
      <c r="O127" s="224">
        <v>997890.43526979641</v>
      </c>
      <c r="P127" s="224">
        <v>822119.33411342243</v>
      </c>
      <c r="Q127" s="225">
        <f>(VALUATION!$M$171*(1+CENÁRIOS!$M49)/(CENÁRIOS!R$40-CENÁRIOS!$M49))</f>
        <v>7812160.9626674475</v>
      </c>
    </row>
    <row r="128" spans="12:18" ht="15" hidden="1" outlineLevel="1" thickBot="1" x14ac:dyDescent="0.35">
      <c r="L128" s="224">
        <v>1299071.4097975232</v>
      </c>
      <c r="M128" s="224">
        <v>1275149.8725277456</v>
      </c>
      <c r="N128" s="224">
        <v>1142391.6276273294</v>
      </c>
      <c r="O128" s="224">
        <v>997890.43526979641</v>
      </c>
      <c r="P128" s="224">
        <v>822119.33411342243</v>
      </c>
      <c r="Q128" s="225">
        <f>(VALUATION!$M$171*(1+CENÁRIOS!$M50)/(CENÁRIOS!R$40-CENÁRIOS!$M50))</f>
        <v>8005224.075601859</v>
      </c>
    </row>
    <row r="129" spans="12:18" ht="15" hidden="1" outlineLevel="1" thickBot="1" x14ac:dyDescent="0.35">
      <c r="L129" s="224">
        <v>1299071.4097975232</v>
      </c>
      <c r="M129" s="224">
        <v>1275149.8725277456</v>
      </c>
      <c r="N129" s="224">
        <v>1142391.6276273294</v>
      </c>
      <c r="O129" s="224">
        <v>997890.43526979641</v>
      </c>
      <c r="P129" s="224">
        <v>822119.33411342243</v>
      </c>
      <c r="Q129" s="225">
        <f>(VALUATION!$M$171*(1+CENÁRIOS!$M51)/(CENÁRIOS!R$40-CENÁRIOS!$M51))</f>
        <v>8207266.8682076382</v>
      </c>
    </row>
    <row r="130" spans="12:18" ht="15" hidden="1" outlineLevel="1" thickBot="1" x14ac:dyDescent="0.35">
      <c r="L130" s="224">
        <v>1299071.4097975232</v>
      </c>
      <c r="M130" s="224">
        <v>1275149.8725277456</v>
      </c>
      <c r="N130" s="224">
        <v>1142391.6276273294</v>
      </c>
      <c r="O130" s="224">
        <v>997890.43526979641</v>
      </c>
      <c r="P130" s="224">
        <v>822119.33411342243</v>
      </c>
      <c r="Q130" s="225">
        <f>(VALUATION!$M$171*(1+CENÁRIOS!$M52)/(CENÁRIOS!R$40-CENÁRIOS!$M52))</f>
        <v>8418930.7461755984</v>
      </c>
    </row>
    <row r="131" spans="12:18" ht="15" hidden="1" outlineLevel="1" thickBot="1" x14ac:dyDescent="0.35">
      <c r="L131" s="224">
        <v>1299071.4097975232</v>
      </c>
      <c r="M131" s="224">
        <v>1275149.8725277456</v>
      </c>
      <c r="N131" s="224">
        <v>1142391.6276273294</v>
      </c>
      <c r="O131" s="224">
        <v>997890.43526979641</v>
      </c>
      <c r="P131" s="224">
        <v>822119.33411342243</v>
      </c>
      <c r="Q131" s="225">
        <f>(VALUATION!$M$171*(1+CENÁRIOS!$M53)/(CENÁRIOS!R$40-CENÁRIOS!$M53))</f>
        <v>8640919.6913615074</v>
      </c>
    </row>
    <row r="132" spans="12:18" hidden="1" outlineLevel="1" x14ac:dyDescent="0.3">
      <c r="L132" s="227"/>
      <c r="M132" s="228"/>
      <c r="N132" s="228"/>
      <c r="O132" s="228"/>
      <c r="P132" s="228"/>
      <c r="Q132" s="229" t="s">
        <v>253</v>
      </c>
      <c r="R132" t="s">
        <v>1</v>
      </c>
    </row>
    <row r="133" spans="12:18" ht="15" hidden="1" outlineLevel="1" thickBot="1" x14ac:dyDescent="0.35">
      <c r="L133" s="224">
        <v>1299071.4097975232</v>
      </c>
      <c r="M133" s="224">
        <v>1275149.8725277456</v>
      </c>
      <c r="N133" s="224">
        <v>1142391.6276273294</v>
      </c>
      <c r="O133" s="224">
        <v>997890.43526979641</v>
      </c>
      <c r="P133" s="224">
        <v>822119.33411342243</v>
      </c>
      <c r="Q133" s="225">
        <f>(VALUATION!$M$171*(1+CENÁRIOS!$M41)/(CENÁRIOS!S$40-CENÁRIOS!$M41))</f>
        <v>5493433.5756898681</v>
      </c>
    </row>
    <row r="134" spans="12:18" ht="15" hidden="1" outlineLevel="1" thickBot="1" x14ac:dyDescent="0.35">
      <c r="L134" s="224">
        <v>1299071.4097975232</v>
      </c>
      <c r="M134" s="224">
        <v>1275149.8725277456</v>
      </c>
      <c r="N134" s="224">
        <v>1142391.6276273294</v>
      </c>
      <c r="O134" s="224">
        <v>997890.43526979641</v>
      </c>
      <c r="P134" s="224">
        <v>822119.33411342243</v>
      </c>
      <c r="Q134" s="225">
        <f>(VALUATION!$M$171*(1+CENÁRIOS!$M42)/(CENÁRIOS!S$40-CENÁRIOS!$M42))</f>
        <v>5593047.278627554</v>
      </c>
    </row>
    <row r="135" spans="12:18" ht="15" hidden="1" outlineLevel="1" thickBot="1" x14ac:dyDescent="0.35">
      <c r="L135" s="224">
        <v>1299071.4097975232</v>
      </c>
      <c r="M135" s="224">
        <v>1275149.8725277456</v>
      </c>
      <c r="N135" s="224">
        <v>1142391.6276273294</v>
      </c>
      <c r="O135" s="224">
        <v>997890.43526979641</v>
      </c>
      <c r="P135" s="224">
        <v>822119.33411342243</v>
      </c>
      <c r="Q135" s="225">
        <f>(VALUATION!$M$171*(1+CENÁRIOS!$M43)/(CENÁRIOS!S$40-CENÁRIOS!$M43))</f>
        <v>5695927.0046123778</v>
      </c>
    </row>
    <row r="136" spans="12:18" ht="15" hidden="1" outlineLevel="1" thickBot="1" x14ac:dyDescent="0.35">
      <c r="L136" s="224">
        <v>1299071.4097975232</v>
      </c>
      <c r="M136" s="224">
        <v>1275149.8725277456</v>
      </c>
      <c r="N136" s="224">
        <v>1142391.6276273294</v>
      </c>
      <c r="O136" s="224">
        <v>997890.43526979641</v>
      </c>
      <c r="P136" s="224">
        <v>822119.33411342243</v>
      </c>
      <c r="Q136" s="225">
        <f>(VALUATION!$M$171*(1+CENÁRIOS!$M44)/(CENÁRIOS!S$40-CENÁRIOS!$M44))</f>
        <v>5802236.0547966948</v>
      </c>
    </row>
    <row r="137" spans="12:18" ht="15" hidden="1" outlineLevel="1" thickBot="1" x14ac:dyDescent="0.35">
      <c r="L137" s="224">
        <v>1299071.4097975232</v>
      </c>
      <c r="M137" s="224">
        <v>1275149.8725277456</v>
      </c>
      <c r="N137" s="224">
        <v>1142391.6276273294</v>
      </c>
      <c r="O137" s="224">
        <v>997890.43526979641</v>
      </c>
      <c r="P137" s="224">
        <v>822119.33411342243</v>
      </c>
      <c r="Q137" s="225">
        <f>(VALUATION!$M$171*(1+CENÁRIOS!$M45)/(CENÁRIOS!S$40-CENÁRIOS!$M45))</f>
        <v>5912148.8015974294</v>
      </c>
    </row>
    <row r="138" spans="12:18" ht="15" hidden="1" outlineLevel="1" thickBot="1" x14ac:dyDescent="0.35">
      <c r="L138" s="224">
        <v>1299071.4097975232</v>
      </c>
      <c r="M138" s="224">
        <v>1275149.8725277456</v>
      </c>
      <c r="N138" s="224">
        <v>1142391.6276273294</v>
      </c>
      <c r="O138" s="224">
        <v>997890.43526979641</v>
      </c>
      <c r="P138" s="224">
        <v>822119.33411342243</v>
      </c>
      <c r="Q138" s="225">
        <f>(VALUATION!$M$171*(1+CENÁRIOS!$M46)/(CENÁRIOS!S$40-CENÁRIOS!$M46))</f>
        <v>6025851.643115432</v>
      </c>
    </row>
    <row r="139" spans="12:18" ht="15" hidden="1" outlineLevel="1" thickBot="1" x14ac:dyDescent="0.35">
      <c r="L139" s="224">
        <v>1299071.4097975232</v>
      </c>
      <c r="M139" s="224">
        <v>1275149.8725277456</v>
      </c>
      <c r="N139" s="224">
        <v>1142391.6276273294</v>
      </c>
      <c r="O139" s="224">
        <v>997890.43526979641</v>
      </c>
      <c r="P139" s="224">
        <v>822119.33411342243</v>
      </c>
      <c r="Q139" s="225">
        <f>(VALUATION!$M$171*(1+CENÁRIOS!$M47)/(CENÁRIOS!S$40-CENÁRIOS!$M47))</f>
        <v>6143544.0580200292</v>
      </c>
    </row>
    <row r="140" spans="12:18" ht="15" hidden="1" outlineLevel="1" thickBot="1" x14ac:dyDescent="0.35">
      <c r="L140" s="224">
        <v>1299071.4097975232</v>
      </c>
      <c r="M140" s="224">
        <v>1275149.8725277456</v>
      </c>
      <c r="N140" s="224">
        <v>1142391.6276273294</v>
      </c>
      <c r="O140" s="224">
        <v>997890.43526979641</v>
      </c>
      <c r="P140" s="224">
        <v>822119.33411342243</v>
      </c>
      <c r="Q140" s="225">
        <f>(VALUATION!$M$171*(1+CENÁRIOS!$M48)/(CENÁRIOS!S$40-CENÁRIOS!$M48))</f>
        <v>6265439.7734569348</v>
      </c>
    </row>
    <row r="141" spans="12:18" ht="15" hidden="1" outlineLevel="1" thickBot="1" x14ac:dyDescent="0.35">
      <c r="L141" s="224">
        <v>1299071.4097975232</v>
      </c>
      <c r="M141" s="224">
        <v>1275149.8725277456</v>
      </c>
      <c r="N141" s="224">
        <v>1142391.6276273294</v>
      </c>
      <c r="O141" s="224">
        <v>997890.43526979641</v>
      </c>
      <c r="P141" s="224">
        <v>822119.33411342243</v>
      </c>
      <c r="Q141" s="225">
        <f>(VALUATION!$M$171*(1+CENÁRIOS!$M49)/(CENÁRIOS!S$40-CENÁRIOS!$M49))</f>
        <v>6391768.0603642743</v>
      </c>
    </row>
    <row r="142" spans="12:18" ht="15" hidden="1" outlineLevel="1" thickBot="1" x14ac:dyDescent="0.35">
      <c r="L142" s="224">
        <v>1299071.4097975232</v>
      </c>
      <c r="M142" s="224">
        <v>1275149.8725277456</v>
      </c>
      <c r="N142" s="224">
        <v>1142391.6276273294</v>
      </c>
      <c r="O142" s="224">
        <v>997890.43526979641</v>
      </c>
      <c r="P142" s="224">
        <v>822119.33411342243</v>
      </c>
      <c r="Q142" s="225">
        <f>(VALUATION!$M$171*(1+CENÁRIOS!$M50)/(CENÁRIOS!S$40-CENÁRIOS!$M50))</f>
        <v>6522775.1727126241</v>
      </c>
    </row>
    <row r="143" spans="12:18" ht="15" hidden="1" outlineLevel="1" thickBot="1" x14ac:dyDescent="0.35">
      <c r="L143" s="224">
        <v>1299071.4097975232</v>
      </c>
      <c r="M143" s="224">
        <v>1275149.8725277456</v>
      </c>
      <c r="N143" s="224">
        <v>1142391.6276273294</v>
      </c>
      <c r="O143" s="224">
        <v>997890.43526979641</v>
      </c>
      <c r="P143" s="224">
        <v>822119.33411342243</v>
      </c>
      <c r="Q143" s="225">
        <f>(VALUATION!$M$171*(1+CENÁRIOS!$M51)/(CENÁRIOS!S$40-CENÁRIOS!$M51))</f>
        <v>6658725.9496778939</v>
      </c>
    </row>
    <row r="144" spans="12:18" ht="15" hidden="1" outlineLevel="1" thickBot="1" x14ac:dyDescent="0.35">
      <c r="L144" s="224">
        <v>1299071.4097975232</v>
      </c>
      <c r="M144" s="224">
        <v>1275149.8725277456</v>
      </c>
      <c r="N144" s="224">
        <v>1142391.6276273294</v>
      </c>
      <c r="O144" s="224">
        <v>997890.43526979641</v>
      </c>
      <c r="P144" s="224">
        <v>822119.33411342243</v>
      </c>
      <c r="Q144" s="225">
        <f>(VALUATION!$M$171*(1+CENÁRIOS!$M52)/(CENÁRIOS!S$40-CENÁRIOS!$M52))</f>
        <v>6799905.6026802892</v>
      </c>
    </row>
    <row r="145" spans="12:18" ht="15" hidden="1" outlineLevel="1" thickBot="1" x14ac:dyDescent="0.35">
      <c r="L145" s="224">
        <v>1299071.4097975232</v>
      </c>
      <c r="M145" s="224">
        <v>1275149.8725277456</v>
      </c>
      <c r="N145" s="224">
        <v>1142391.6276273294</v>
      </c>
      <c r="O145" s="224">
        <v>997890.43526979641</v>
      </c>
      <c r="P145" s="224">
        <v>822119.33411342243</v>
      </c>
      <c r="Q145" s="225">
        <f>(VALUATION!$M$171*(1+CENÁRIOS!$M53)/(CENÁRIOS!S$40-CENÁRIOS!$M53))</f>
        <v>6946621.7126631718</v>
      </c>
    </row>
    <row r="146" spans="12:18" hidden="1" outlineLevel="1" x14ac:dyDescent="0.3">
      <c r="L146" s="227"/>
      <c r="M146" s="228"/>
      <c r="N146" s="228"/>
      <c r="O146" s="228"/>
      <c r="P146" s="228"/>
      <c r="Q146" s="229" t="s">
        <v>254</v>
      </c>
      <c r="R146" t="s">
        <v>1</v>
      </c>
    </row>
    <row r="147" spans="12:18" ht="15" hidden="1" outlineLevel="1" thickBot="1" x14ac:dyDescent="0.35">
      <c r="L147" s="224">
        <v>1299071.4097975232</v>
      </c>
      <c r="M147" s="224">
        <v>1275149.8725277456</v>
      </c>
      <c r="N147" s="224">
        <v>1142391.6276273294</v>
      </c>
      <c r="O147" s="224">
        <v>997890.43526979641</v>
      </c>
      <c r="P147" s="224">
        <v>822119.33411342243</v>
      </c>
      <c r="Q147" s="225">
        <f>(VALUATION!$M$171*(1+CENÁRIOS!$M41)/(CENÁRIOS!T$40-CENÁRIOS!$M41))</f>
        <v>4740908.428335092</v>
      </c>
    </row>
    <row r="148" spans="12:18" ht="15" hidden="1" outlineLevel="1" thickBot="1" x14ac:dyDescent="0.35">
      <c r="L148" s="224">
        <v>1299071.4097975232</v>
      </c>
      <c r="M148" s="224">
        <v>1275149.8725277456</v>
      </c>
      <c r="N148" s="224">
        <v>1142391.6276273294</v>
      </c>
      <c r="O148" s="224">
        <v>997890.43526979641</v>
      </c>
      <c r="P148" s="224">
        <v>822119.33411342243</v>
      </c>
      <c r="Q148" s="225">
        <f>(VALUATION!$M$171*(1+CENÁRIOS!$M42)/(CENÁRIOS!T$40-CENÁRIOS!$M42))</f>
        <v>4816235.1565959491</v>
      </c>
    </row>
    <row r="149" spans="12:18" ht="15" hidden="1" outlineLevel="1" thickBot="1" x14ac:dyDescent="0.35">
      <c r="L149" s="224">
        <v>1299071.4097975232</v>
      </c>
      <c r="M149" s="224">
        <v>1275149.8725277456</v>
      </c>
      <c r="N149" s="224">
        <v>1142391.6276273294</v>
      </c>
      <c r="O149" s="224">
        <v>997890.43526979641</v>
      </c>
      <c r="P149" s="224">
        <v>822119.33411342243</v>
      </c>
      <c r="Q149" s="225">
        <f>(VALUATION!$M$171*(1+CENÁRIOS!$M43)/(CENÁRIOS!T$40-CENÁRIOS!$M43))</f>
        <v>4893683.7645261269</v>
      </c>
    </row>
    <row r="150" spans="12:18" ht="15" hidden="1" outlineLevel="1" thickBot="1" x14ac:dyDescent="0.35">
      <c r="L150" s="224">
        <v>1299071.4097975232</v>
      </c>
      <c r="M150" s="224">
        <v>1275149.8725277456</v>
      </c>
      <c r="N150" s="224">
        <v>1142391.6276273294</v>
      </c>
      <c r="O150" s="224">
        <v>997890.43526979641</v>
      </c>
      <c r="P150" s="224">
        <v>822119.33411342243</v>
      </c>
      <c r="Q150" s="225">
        <f>(VALUATION!$M$171*(1+CENÁRIOS!$M44)/(CENÁRIOS!T$40-CENÁRIOS!$M44))</f>
        <v>4973345.1898257388</v>
      </c>
    </row>
    <row r="151" spans="12:18" ht="15" hidden="1" outlineLevel="1" thickBot="1" x14ac:dyDescent="0.35">
      <c r="L151" s="224">
        <v>1299071.4097975232</v>
      </c>
      <c r="M151" s="224">
        <v>1275149.8725277456</v>
      </c>
      <c r="N151" s="224">
        <v>1142391.6276273294</v>
      </c>
      <c r="O151" s="224">
        <v>997890.43526979641</v>
      </c>
      <c r="P151" s="224">
        <v>822119.33411342243</v>
      </c>
      <c r="Q151" s="225">
        <f>(VALUATION!$M$171*(1+CENÁRIOS!$M45)/(CENÁRIOS!T$40-CENÁRIOS!$M45))</f>
        <v>5055315.6419456284</v>
      </c>
    </row>
    <row r="152" spans="12:18" ht="15" hidden="1" outlineLevel="1" thickBot="1" x14ac:dyDescent="0.35">
      <c r="L152" s="224">
        <v>1299071.4097975232</v>
      </c>
      <c r="M152" s="224">
        <v>1275149.8725277456</v>
      </c>
      <c r="N152" s="224">
        <v>1142391.6276273294</v>
      </c>
      <c r="O152" s="224">
        <v>997890.43526979641</v>
      </c>
      <c r="P152" s="224">
        <v>822119.33411342243</v>
      </c>
      <c r="Q152" s="225">
        <f>(VALUATION!$M$171*(1+CENÁRIOS!$M46)/(CENÁRIOS!T$40-CENÁRIOS!$M46))</f>
        <v>5139696.9897161042</v>
      </c>
    </row>
    <row r="153" spans="12:18" ht="15" hidden="1" outlineLevel="1" thickBot="1" x14ac:dyDescent="0.35">
      <c r="L153" s="224">
        <v>1299071.4097975232</v>
      </c>
      <c r="M153" s="224">
        <v>1275149.8725277456</v>
      </c>
      <c r="N153" s="224">
        <v>1142391.6276273294</v>
      </c>
      <c r="O153" s="224">
        <v>997890.43526979641</v>
      </c>
      <c r="P153" s="224">
        <v>822119.33411342243</v>
      </c>
      <c r="Q153" s="225">
        <f>(VALUATION!$M$171*(1+CENÁRIOS!$M47)/(CENÁRIOS!T$40-CENÁRIOS!$M47))</f>
        <v>5226597.1836886825</v>
      </c>
    </row>
    <row r="154" spans="12:18" ht="15" hidden="1" outlineLevel="1" thickBot="1" x14ac:dyDescent="0.35">
      <c r="L154" s="224">
        <v>1299071.4097975232</v>
      </c>
      <c r="M154" s="224">
        <v>1275149.8725277456</v>
      </c>
      <c r="N154" s="224">
        <v>1142391.6276273294</v>
      </c>
      <c r="O154" s="224">
        <v>997890.43526979641</v>
      </c>
      <c r="P154" s="224">
        <v>822119.33411342243</v>
      </c>
      <c r="Q154" s="225">
        <f>(VALUATION!$M$171*(1+CENÁRIOS!$M48)/(CENÁRIOS!T$40-CENÁRIOS!$M48))</f>
        <v>5316130.7168725515</v>
      </c>
    </row>
    <row r="155" spans="12:18" ht="15" hidden="1" outlineLevel="1" thickBot="1" x14ac:dyDescent="0.35">
      <c r="L155" s="224">
        <v>1299071.4097975232</v>
      </c>
      <c r="M155" s="224">
        <v>1275149.8725277456</v>
      </c>
      <c r="N155" s="224">
        <v>1142391.6276273294</v>
      </c>
      <c r="O155" s="224">
        <v>997890.43526979641</v>
      </c>
      <c r="P155" s="224">
        <v>822119.33411342243</v>
      </c>
      <c r="Q155" s="225">
        <f>(VALUATION!$M$171*(1+CENÁRIOS!$M49)/(CENÁRIOS!T$40-CENÁRIOS!$M49))</f>
        <v>5408419.1280005397</v>
      </c>
    </row>
    <row r="156" spans="12:18" ht="15" hidden="1" outlineLevel="1" thickBot="1" x14ac:dyDescent="0.35">
      <c r="L156" s="224">
        <v>1299071.4097975232</v>
      </c>
      <c r="M156" s="224">
        <v>1275149.8725277456</v>
      </c>
      <c r="N156" s="224">
        <v>1142391.6276273294</v>
      </c>
      <c r="O156" s="224">
        <v>997890.43526979641</v>
      </c>
      <c r="P156" s="224">
        <v>822119.33411342243</v>
      </c>
      <c r="Q156" s="225">
        <f>(VALUATION!$M$171*(1+CENÁRIOS!$M50)/(CENÁRIOS!T$40-CENÁRIOS!$M50))</f>
        <v>5503591.5519762775</v>
      </c>
    </row>
    <row r="157" spans="12:18" ht="15" hidden="1" outlineLevel="1" thickBot="1" x14ac:dyDescent="0.35">
      <c r="L157" s="224">
        <v>1299071.4097975232</v>
      </c>
      <c r="M157" s="224">
        <v>1275149.8725277456</v>
      </c>
      <c r="N157" s="224">
        <v>1142391.6276273294</v>
      </c>
      <c r="O157" s="224">
        <v>997890.43526979641</v>
      </c>
      <c r="P157" s="224">
        <v>822119.33411342243</v>
      </c>
      <c r="Q157" s="225">
        <f>(VALUATION!$M$171*(1+CENÁRIOS!$M51)/(CENÁRIOS!T$40-CENÁRIOS!$M51))</f>
        <v>5601785.3227448957</v>
      </c>
    </row>
    <row r="158" spans="12:18" ht="15" hidden="1" outlineLevel="1" thickBot="1" x14ac:dyDescent="0.35">
      <c r="L158" s="224">
        <v>1299071.4097975232</v>
      </c>
      <c r="M158" s="224">
        <v>1275149.8725277456</v>
      </c>
      <c r="N158" s="224">
        <v>1142391.6276273294</v>
      </c>
      <c r="O158" s="224">
        <v>997890.43526979641</v>
      </c>
      <c r="P158" s="224">
        <v>822119.33411342243</v>
      </c>
      <c r="Q158" s="225">
        <f>(VALUATION!$M$171*(1+CENÁRIOS!$M52)/(CENÁRIOS!T$40-CENÁRIOS!$M52))</f>
        <v>5703146.6345060496</v>
      </c>
    </row>
    <row r="159" spans="12:18" ht="15" hidden="1" outlineLevel="1" thickBot="1" x14ac:dyDescent="0.35">
      <c r="L159" s="224">
        <v>1299071.4097975232</v>
      </c>
      <c r="M159" s="224">
        <v>1275149.8725277456</v>
      </c>
      <c r="N159" s="224">
        <v>1142391.6276273294</v>
      </c>
      <c r="O159" s="224">
        <v>997890.43526979641</v>
      </c>
      <c r="P159" s="224">
        <v>822119.33411342243</v>
      </c>
      <c r="Q159" s="225">
        <f>(VALUATION!$M$171*(1+CENÁRIOS!$M53)/(CENÁRIOS!T$40-CENÁRIOS!$M53))</f>
        <v>5807831.2679642914</v>
      </c>
    </row>
    <row r="160" spans="12:18" hidden="1" outlineLevel="1" x14ac:dyDescent="0.3">
      <c r="L160" s="227"/>
      <c r="M160" s="228"/>
      <c r="N160" s="228"/>
      <c r="O160" s="228"/>
      <c r="P160" s="228"/>
      <c r="Q160" s="229" t="s">
        <v>255</v>
      </c>
      <c r="R160" t="s">
        <v>1</v>
      </c>
    </row>
    <row r="161" spans="12:17" ht="15" hidden="1" outlineLevel="1" thickBot="1" x14ac:dyDescent="0.35">
      <c r="L161" s="224">
        <v>1299071.4097975232</v>
      </c>
      <c r="M161" s="224">
        <v>1275149.8725277456</v>
      </c>
      <c r="N161" s="224">
        <v>1142391.6276273294</v>
      </c>
      <c r="O161" s="224">
        <v>997890.43526979641</v>
      </c>
      <c r="P161" s="224">
        <v>822119.33411342243</v>
      </c>
      <c r="Q161" s="225">
        <f>(VALUATION!$M$171*(1+CENÁRIOS!$M41)/(CENÁRIOS!U$40-CENÁRIOS!$M41))</f>
        <v>4169714.6417886959</v>
      </c>
    </row>
    <row r="162" spans="12:17" ht="15" hidden="1" outlineLevel="1" thickBot="1" x14ac:dyDescent="0.35">
      <c r="L162" s="224">
        <v>1299071.4097975232</v>
      </c>
      <c r="M162" s="224">
        <v>1275149.8725277456</v>
      </c>
      <c r="N162" s="224">
        <v>1142391.6276273294</v>
      </c>
      <c r="O162" s="224">
        <v>997890.43526979641</v>
      </c>
      <c r="P162" s="224">
        <v>822119.33411342243</v>
      </c>
      <c r="Q162" s="225">
        <f>(VALUATION!$M$171*(1+CENÁRIOS!$M42)/(CENÁRIOS!U$40-CENÁRIOS!$M42))</f>
        <v>4228889.4057915658</v>
      </c>
    </row>
    <row r="163" spans="12:17" ht="15" hidden="1" outlineLevel="1" thickBot="1" x14ac:dyDescent="0.35">
      <c r="L163" s="224">
        <v>1299071.4097975232</v>
      </c>
      <c r="M163" s="224">
        <v>1275149.8725277456</v>
      </c>
      <c r="N163" s="224">
        <v>1142391.6276273294</v>
      </c>
      <c r="O163" s="224">
        <v>997890.43526979641</v>
      </c>
      <c r="P163" s="224">
        <v>822119.33411342243</v>
      </c>
      <c r="Q163" s="225">
        <f>(VALUATION!$M$171*(1+CENÁRIOS!$M43)/(CENÁRIOS!U$40-CENÁRIOS!$M43))</f>
        <v>4289525.2750784578</v>
      </c>
    </row>
    <row r="164" spans="12:17" ht="15" hidden="1" outlineLevel="1" thickBot="1" x14ac:dyDescent="0.35">
      <c r="L164" s="224">
        <v>1299071.4097975232</v>
      </c>
      <c r="M164" s="224">
        <v>1275149.8725277456</v>
      </c>
      <c r="N164" s="224">
        <v>1142391.6276273294</v>
      </c>
      <c r="O164" s="224">
        <v>997890.43526979641</v>
      </c>
      <c r="P164" s="224">
        <v>822119.33411342243</v>
      </c>
      <c r="Q164" s="225">
        <f>(VALUATION!$M$171*(1+CENÁRIOS!$M44)/(CENÁRIOS!U$40-CENÁRIOS!$M44))</f>
        <v>4351677.0410975218</v>
      </c>
    </row>
    <row r="165" spans="12:17" ht="15" hidden="1" outlineLevel="1" thickBot="1" x14ac:dyDescent="0.35">
      <c r="L165" s="224">
        <v>1299071.4097975232</v>
      </c>
      <c r="M165" s="224">
        <v>1275149.8725277456</v>
      </c>
      <c r="N165" s="224">
        <v>1142391.6276273294</v>
      </c>
      <c r="O165" s="224">
        <v>997890.43526979641</v>
      </c>
      <c r="P165" s="224">
        <v>822119.33411342243</v>
      </c>
      <c r="Q165" s="225">
        <f>(VALUATION!$M$171*(1+CENÁRIOS!$M45)/(CENÁRIOS!U$40-CENÁRIOS!$M45))</f>
        <v>4415402.2695474476</v>
      </c>
    </row>
    <row r="166" spans="12:17" ht="15" hidden="1" outlineLevel="1" thickBot="1" x14ac:dyDescent="0.35">
      <c r="L166" s="224">
        <v>1299071.4097975232</v>
      </c>
      <c r="M166" s="224">
        <v>1275149.8725277456</v>
      </c>
      <c r="N166" s="224">
        <v>1142391.6276273294</v>
      </c>
      <c r="O166" s="224">
        <v>997890.43526979641</v>
      </c>
      <c r="P166" s="224">
        <v>822119.33411342243</v>
      </c>
      <c r="Q166" s="225">
        <f>(VALUATION!$M$171*(1+CENÁRIOS!$M46)/(CENÁRIOS!U$40-CENÁRIOS!$M46))</f>
        <v>4480761.4782140395</v>
      </c>
    </row>
    <row r="167" spans="12:17" ht="15" hidden="1" outlineLevel="1" thickBot="1" x14ac:dyDescent="0.35">
      <c r="L167" s="224">
        <v>1299071.4097975232</v>
      </c>
      <c r="M167" s="224">
        <v>1275149.8725277456</v>
      </c>
      <c r="N167" s="224">
        <v>1142391.6276273294</v>
      </c>
      <c r="O167" s="224">
        <v>997890.43526979641</v>
      </c>
      <c r="P167" s="224">
        <v>822119.33411342243</v>
      </c>
      <c r="Q167" s="225">
        <f>(VALUATION!$M$171*(1+CENÁRIOS!$M47)/(CENÁRIOS!U$40-CENÁRIOS!$M47))</f>
        <v>4547818.328664179</v>
      </c>
    </row>
    <row r="168" spans="12:17" ht="15" hidden="1" outlineLevel="1" thickBot="1" x14ac:dyDescent="0.35">
      <c r="L168" s="224">
        <v>1299071.4097975232</v>
      </c>
      <c r="M168" s="224">
        <v>1275149.8725277456</v>
      </c>
      <c r="N168" s="224">
        <v>1142391.6276273294</v>
      </c>
      <c r="O168" s="224">
        <v>997890.43526979641</v>
      </c>
      <c r="P168" s="224">
        <v>822119.33411342243</v>
      </c>
      <c r="Q168" s="225">
        <f>(VALUATION!$M$171*(1+CENÁRIOS!$M48)/(CENÁRIOS!U$40-CENÁRIOS!$M48))</f>
        <v>4616639.8330735313</v>
      </c>
    </row>
    <row r="169" spans="12:17" ht="15" hidden="1" outlineLevel="1" thickBot="1" x14ac:dyDescent="0.35">
      <c r="L169" s="224">
        <v>1299071.4097975232</v>
      </c>
      <c r="M169" s="224">
        <v>1275149.8725277456</v>
      </c>
      <c r="N169" s="224">
        <v>1142391.6276273294</v>
      </c>
      <c r="O169" s="224">
        <v>997890.43526979641</v>
      </c>
      <c r="P169" s="224">
        <v>822119.33411342243</v>
      </c>
      <c r="Q169" s="225">
        <f>(VALUATION!$M$171*(1+CENÁRIOS!$M49)/(CENÁRIOS!U$40-CENÁRIOS!$M49))</f>
        <v>4687296.577600468</v>
      </c>
    </row>
    <row r="170" spans="12:17" ht="15" hidden="1" outlineLevel="1" thickBot="1" x14ac:dyDescent="0.35">
      <c r="L170" s="224">
        <v>1299071.4097975232</v>
      </c>
      <c r="M170" s="224">
        <v>1275149.8725277456</v>
      </c>
      <c r="N170" s="224">
        <v>1142391.6276273294</v>
      </c>
      <c r="O170" s="224">
        <v>997890.43526979641</v>
      </c>
      <c r="P170" s="224">
        <v>822119.33411342243</v>
      </c>
      <c r="Q170" s="225">
        <f>(VALUATION!$M$171*(1+CENÁRIOS!$M50)/(CENÁRIOS!U$40-CENÁRIOS!$M50))</f>
        <v>4759862.9638713757</v>
      </c>
    </row>
    <row r="171" spans="12:17" ht="15" hidden="1" outlineLevel="1" thickBot="1" x14ac:dyDescent="0.35">
      <c r="L171" s="224">
        <v>1299071.4097975232</v>
      </c>
      <c r="M171" s="224">
        <v>1275149.8725277456</v>
      </c>
      <c r="N171" s="224">
        <v>1142391.6276273294</v>
      </c>
      <c r="O171" s="224">
        <v>997890.43526979641</v>
      </c>
      <c r="P171" s="224">
        <v>822119.33411342243</v>
      </c>
      <c r="Q171" s="225">
        <f>(VALUATION!$M$171*(1+CENÁRIOS!$M51)/(CENÁRIOS!U$40-CENÁRIOS!$M51))</f>
        <v>4834417.4703140883</v>
      </c>
    </row>
    <row r="172" spans="12:17" ht="15" hidden="1" outlineLevel="1" thickBot="1" x14ac:dyDescent="0.35">
      <c r="L172" s="224">
        <v>1299071.4097975232</v>
      </c>
      <c r="M172" s="224">
        <v>1275149.8725277456</v>
      </c>
      <c r="N172" s="224">
        <v>1142391.6276273294</v>
      </c>
      <c r="O172" s="224">
        <v>997890.43526979641</v>
      </c>
      <c r="P172" s="224">
        <v>822119.33411342243</v>
      </c>
      <c r="Q172" s="225">
        <f>(VALUATION!$M$171*(1+CENÁRIOS!$M52)/(CENÁRIOS!U$40-CENÁRIOS!$M52))</f>
        <v>4911042.9352690987</v>
      </c>
    </row>
    <row r="173" spans="12:17" ht="15" hidden="1" outlineLevel="1" thickBot="1" x14ac:dyDescent="0.35">
      <c r="L173" s="224">
        <v>1299071.4097975232</v>
      </c>
      <c r="M173" s="224">
        <v>1275149.8725277456</v>
      </c>
      <c r="N173" s="224">
        <v>1142391.6276273294</v>
      </c>
      <c r="O173" s="224">
        <v>997890.43526979641</v>
      </c>
      <c r="P173" s="224">
        <v>822119.33411342243</v>
      </c>
      <c r="Q173" s="225">
        <f>(VALUATION!$M$171*(1+CENÁRIOS!$M53)/(CENÁRIOS!U$40-CENÁRIOS!$M53))</f>
        <v>4989826.8640256589</v>
      </c>
    </row>
    <row r="174" spans="12:17" hidden="1" outlineLevel="1" x14ac:dyDescent="0.3">
      <c r="L174" s="227"/>
      <c r="M174" s="228"/>
      <c r="N174" s="228"/>
      <c r="O174" s="228"/>
      <c r="P174" s="228"/>
      <c r="Q174" s="229" t="s">
        <v>256</v>
      </c>
    </row>
    <row r="175" spans="12:17" ht="15" hidden="1" outlineLevel="1" thickBot="1" x14ac:dyDescent="0.35">
      <c r="L175" s="224">
        <v>1299071.4097975232</v>
      </c>
      <c r="M175" s="224">
        <v>1275149.8725277456</v>
      </c>
      <c r="N175" s="224">
        <v>1142391.6276273294</v>
      </c>
      <c r="O175" s="224">
        <v>997890.43526979641</v>
      </c>
      <c r="P175" s="224">
        <v>822119.33411342243</v>
      </c>
      <c r="Q175" s="225">
        <f>(VALUATION!$M$171*(1+CENÁRIOS!$M41)/(CENÁRIOS!V$40-CENÁRIOS!$M41))</f>
        <v>3721358.2286931365</v>
      </c>
    </row>
    <row r="176" spans="12:17" ht="15" hidden="1" outlineLevel="1" thickBot="1" x14ac:dyDescent="0.35">
      <c r="L176" s="224">
        <v>1299071.4097975232</v>
      </c>
      <c r="M176" s="224">
        <v>1275149.8725277456</v>
      </c>
      <c r="N176" s="224">
        <v>1142391.6276273294</v>
      </c>
      <c r="O176" s="224">
        <v>997890.43526979641</v>
      </c>
      <c r="P176" s="224">
        <v>822119.33411342243</v>
      </c>
      <c r="Q176" s="225">
        <f>(VALUATION!$M$171*(1+CENÁRIOS!$M42)/(CENÁRIOS!V$40-CENÁRIOS!$M42))</f>
        <v>3769227.5138576995</v>
      </c>
    </row>
    <row r="177" spans="12:17" ht="15" hidden="1" outlineLevel="1" thickBot="1" x14ac:dyDescent="0.35">
      <c r="L177" s="224">
        <v>1299071.4097975232</v>
      </c>
      <c r="M177" s="224">
        <v>1275149.8725277456</v>
      </c>
      <c r="N177" s="224">
        <v>1142391.6276273294</v>
      </c>
      <c r="O177" s="224">
        <v>997890.43526979641</v>
      </c>
      <c r="P177" s="224">
        <v>822119.33411342243</v>
      </c>
      <c r="Q177" s="225">
        <f>(VALUATION!$M$171*(1+CENÁRIOS!$M43)/(CENÁRIOS!V$40-CENÁRIOS!$M43))</f>
        <v>3818148.8712236816</v>
      </c>
    </row>
    <row r="178" spans="12:17" ht="15" hidden="1" outlineLevel="1" thickBot="1" x14ac:dyDescent="0.35">
      <c r="L178" s="224">
        <v>1299071.4097975232</v>
      </c>
      <c r="M178" s="224">
        <v>1275149.8725277456</v>
      </c>
      <c r="N178" s="224">
        <v>1142391.6276273294</v>
      </c>
      <c r="O178" s="224">
        <v>997890.43526979641</v>
      </c>
      <c r="P178" s="224">
        <v>822119.33411342243</v>
      </c>
      <c r="Q178" s="225">
        <f>(VALUATION!$M$171*(1+CENÁRIOS!$M44)/(CENÁRIOS!V$40-CENÁRIOS!$M44))</f>
        <v>3868157.3698644633</v>
      </c>
    </row>
    <row r="179" spans="12:17" ht="15" hidden="1" outlineLevel="1" thickBot="1" x14ac:dyDescent="0.35">
      <c r="L179" s="224">
        <v>1299071.4097975232</v>
      </c>
      <c r="M179" s="224">
        <v>1275149.8725277456</v>
      </c>
      <c r="N179" s="224">
        <v>1142391.6276273294</v>
      </c>
      <c r="O179" s="224">
        <v>997890.43526979641</v>
      </c>
      <c r="P179" s="224">
        <v>822119.33411342243</v>
      </c>
      <c r="Q179" s="225">
        <f>(VALUATION!$M$171*(1+CENÁRIOS!$M45)/(CENÁRIOS!V$40-CENÁRIOS!$M45))</f>
        <v>3919289.6549915546</v>
      </c>
    </row>
    <row r="180" spans="12:17" ht="15" hidden="1" outlineLevel="1" thickBot="1" x14ac:dyDescent="0.35">
      <c r="L180" s="224">
        <v>1299071.4097975232</v>
      </c>
      <c r="M180" s="224">
        <v>1275149.8725277456</v>
      </c>
      <c r="N180" s="224">
        <v>1142391.6276273294</v>
      </c>
      <c r="O180" s="224">
        <v>997890.43526979641</v>
      </c>
      <c r="P180" s="224">
        <v>822119.33411342243</v>
      </c>
      <c r="Q180" s="225">
        <f>(VALUATION!$M$171*(1+CENÁRIOS!$M46)/(CENÁRIOS!V$40-CENÁRIOS!$M46))</f>
        <v>3971584.0375078982</v>
      </c>
    </row>
    <row r="181" spans="12:17" ht="15" hidden="1" outlineLevel="1" thickBot="1" x14ac:dyDescent="0.35">
      <c r="L181" s="224">
        <v>1299071.4097975232</v>
      </c>
      <c r="M181" s="224">
        <v>1275149.8725277456</v>
      </c>
      <c r="N181" s="224">
        <v>1142391.6276273294</v>
      </c>
      <c r="O181" s="224">
        <v>997890.43526979641</v>
      </c>
      <c r="P181" s="224">
        <v>822119.33411342243</v>
      </c>
      <c r="Q181" s="225">
        <f>(VALUATION!$M$171*(1+CENÁRIOS!$M47)/(CENÁRIOS!V$40-CENÁRIOS!$M47))</f>
        <v>4025080.5897372612</v>
      </c>
    </row>
    <row r="182" spans="12:17" ht="15" hidden="1" outlineLevel="1" thickBot="1" x14ac:dyDescent="0.35">
      <c r="L182" s="224">
        <v>1299071.4097975232</v>
      </c>
      <c r="M182" s="224">
        <v>1275149.8725277456</v>
      </c>
      <c r="N182" s="224">
        <v>1142391.6276273294</v>
      </c>
      <c r="O182" s="224">
        <v>997890.43526979641</v>
      </c>
      <c r="P182" s="224">
        <v>822119.33411342243</v>
      </c>
      <c r="Q182" s="225">
        <f>(VALUATION!$M$171*(1+CENÁRIOS!$M48)/(CENÁRIOS!V$40-CENÁRIOS!$M48))</f>
        <v>4079821.2478324231</v>
      </c>
    </row>
    <row r="183" spans="12:17" ht="15" hidden="1" outlineLevel="1" thickBot="1" x14ac:dyDescent="0.35">
      <c r="L183" s="224">
        <v>1299071.4097975232</v>
      </c>
      <c r="M183" s="224">
        <v>1275149.8725277456</v>
      </c>
      <c r="N183" s="224">
        <v>1142391.6276273294</v>
      </c>
      <c r="O183" s="224">
        <v>997890.43526979641</v>
      </c>
      <c r="P183" s="224">
        <v>822119.33411342243</v>
      </c>
      <c r="Q183" s="225">
        <f>(VALUATION!$M$171*(1+CENÁRIOS!$M49)/(CENÁRIOS!V$40-CENÁRIOS!$M49))</f>
        <v>4135849.9214121774</v>
      </c>
    </row>
    <row r="184" spans="12:17" ht="15" hidden="1" outlineLevel="1" thickBot="1" x14ac:dyDescent="0.35">
      <c r="L184" s="224">
        <v>1299071.4097975232</v>
      </c>
      <c r="M184" s="224">
        <v>1275149.8725277456</v>
      </c>
      <c r="N184" s="224">
        <v>1142391.6276273294</v>
      </c>
      <c r="O184" s="224">
        <v>997890.43526979641</v>
      </c>
      <c r="P184" s="224">
        <v>822119.33411342243</v>
      </c>
      <c r="Q184" s="225">
        <f>(VALUATION!$M$171*(1+CENÁRIOS!$M50)/(CENÁRIOS!V$40-CENÁRIOS!$M50))</f>
        <v>4193212.6110295444</v>
      </c>
    </row>
    <row r="185" spans="12:17" ht="15" hidden="1" outlineLevel="1" thickBot="1" x14ac:dyDescent="0.35">
      <c r="L185" s="224">
        <v>1299071.4097975232</v>
      </c>
      <c r="M185" s="224">
        <v>1275149.8725277456</v>
      </c>
      <c r="N185" s="224">
        <v>1142391.6276273294</v>
      </c>
      <c r="O185" s="224">
        <v>997890.43526979641</v>
      </c>
      <c r="P185" s="224">
        <v>822119.33411342243</v>
      </c>
      <c r="Q185" s="225">
        <f>(VALUATION!$M$171*(1+CENÁRIOS!$M51)/(CENÁRIOS!V$40-CENÁRIOS!$M51))</f>
        <v>4251957.5341316676</v>
      </c>
    </row>
    <row r="186" spans="12:17" ht="15" hidden="1" outlineLevel="1" thickBot="1" x14ac:dyDescent="0.35">
      <c r="L186" s="224">
        <v>1299071.4097975232</v>
      </c>
      <c r="M186" s="224">
        <v>1275149.8725277456</v>
      </c>
      <c r="N186" s="224">
        <v>1142391.6276273294</v>
      </c>
      <c r="O186" s="224">
        <v>997890.43526979641</v>
      </c>
      <c r="P186" s="224">
        <v>822119.33411342243</v>
      </c>
      <c r="Q186" s="225">
        <f>(VALUATION!$M$171*(1+CENÁRIOS!$M52)/(CENÁRIOS!V$40-CENÁRIOS!$M52))</f>
        <v>4312135.260236281</v>
      </c>
    </row>
    <row r="187" spans="12:17" ht="15" hidden="1" outlineLevel="1" thickBot="1" x14ac:dyDescent="0.35">
      <c r="L187" s="224">
        <v>1299071.4097975232</v>
      </c>
      <c r="M187" s="224">
        <v>1275149.8725277456</v>
      </c>
      <c r="N187" s="224">
        <v>1142391.6276273294</v>
      </c>
      <c r="O187" s="224">
        <v>997890.43526979641</v>
      </c>
      <c r="P187" s="224">
        <v>822119.33411342243</v>
      </c>
      <c r="Q187" s="225">
        <f>(VALUATION!$M$171*(1+CENÁRIOS!$M53)/(CENÁRIOS!V$40-CENÁRIOS!$M53))</f>
        <v>4373798.856121256</v>
      </c>
    </row>
    <row r="188" spans="12:17" collapsed="1" x14ac:dyDescent="0.3"/>
  </sheetData>
  <mergeCells count="10">
    <mergeCell ref="L39:M40"/>
    <mergeCell ref="L41:L53"/>
    <mergeCell ref="N39:V39"/>
    <mergeCell ref="B13:J13"/>
    <mergeCell ref="B3:J3"/>
    <mergeCell ref="B34:J34"/>
    <mergeCell ref="B31:J31"/>
    <mergeCell ref="B26:J26"/>
    <mergeCell ref="B27:J27"/>
    <mergeCell ref="B22:J22"/>
  </mergeCells>
  <conditionalFormatting sqref="T5">
    <cfRule type="cellIs" dxfId="4" priority="9" operator="lessThan">
      <formula>0</formula>
    </cfRule>
    <cfRule type="cellIs" dxfId="3" priority="10" operator="greaterThan">
      <formula>0</formula>
    </cfRule>
  </conditionalFormatting>
  <conditionalFormatting sqref="Y5">
    <cfRule type="containsText" dxfId="2" priority="4" operator="containsText" text="HOLD">
      <formula>NOT(ISERROR(SEARCH("HOLD",Y5)))</formula>
    </cfRule>
    <cfRule type="containsText" dxfId="1" priority="5" operator="containsText" text="SELL">
      <formula>NOT(ISERROR(SEARCH("SELL",Y5)))</formula>
    </cfRule>
    <cfRule type="containsText" dxfId="0" priority="6" operator="containsText" text="BUY">
      <formula>NOT(ISERROR(SEARCH("BUY",Y5)))</formula>
    </cfRule>
  </conditionalFormatting>
  <conditionalFormatting sqref="N41:V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14</xdr:col>
                <xdr:colOff>160020</xdr:colOff>
                <xdr:row>2</xdr:row>
                <xdr:rowOff>167640</xdr:rowOff>
              </from>
              <to>
                <xdr:col>15</xdr:col>
                <xdr:colOff>899160</xdr:colOff>
                <xdr:row>5</xdr:row>
                <xdr:rowOff>45720</xdr:rowOff>
              </to>
            </anchor>
          </controlPr>
        </control>
      </mc:Choice>
      <mc:Fallback>
        <control shapeId="3073" r:id="rId5" name="CommandButton1"/>
      </mc:Fallback>
    </mc:AlternateContent>
    <mc:AlternateContent xmlns:mc="http://schemas.openxmlformats.org/markup-compatibility/2006">
      <mc:Choice Requires="x14">
        <control shapeId="3109" r:id="rId7" name="CommandButton2">
          <controlPr defaultSize="0" autoLine="0" autoPict="0" r:id="rId8">
            <anchor moveWithCells="1">
              <from>
                <xdr:col>11</xdr:col>
                <xdr:colOff>45720</xdr:colOff>
                <xdr:row>1</xdr:row>
                <xdr:rowOff>114300</xdr:rowOff>
              </from>
              <to>
                <xdr:col>11</xdr:col>
                <xdr:colOff>792480</xdr:colOff>
                <xdr:row>12</xdr:row>
                <xdr:rowOff>190500</xdr:rowOff>
              </to>
            </anchor>
          </controlPr>
        </control>
      </mc:Choice>
      <mc:Fallback>
        <control shapeId="3109" r:id="rId7" name="CommandButton2"/>
      </mc:Fallback>
    </mc:AlternateContent>
    <mc:AlternateContent xmlns:mc="http://schemas.openxmlformats.org/markup-compatibility/2006">
      <mc:Choice Requires="x14">
        <control shapeId="3134" r:id="rId9" name="CommandButton3">
          <controlPr defaultSize="0" autoLine="0" r:id="rId10">
            <anchor moveWithCells="1">
              <from>
                <xdr:col>12</xdr:col>
                <xdr:colOff>579120</xdr:colOff>
                <xdr:row>2</xdr:row>
                <xdr:rowOff>167640</xdr:rowOff>
              </from>
              <to>
                <xdr:col>13</xdr:col>
                <xdr:colOff>1257300</xdr:colOff>
                <xdr:row>5</xdr:row>
                <xdr:rowOff>45720</xdr:rowOff>
              </to>
            </anchor>
          </controlPr>
        </control>
      </mc:Choice>
      <mc:Fallback>
        <control shapeId="3134" r:id="rId9" name="CommandButton3"/>
      </mc:Fallback>
    </mc:AlternateContent>
    <mc:AlternateContent xmlns:mc="http://schemas.openxmlformats.org/markup-compatibility/2006">
      <mc:Choice Requires="x14">
        <control shapeId="3135" r:id="rId11" name="CommandButton4">
          <controlPr defaultSize="0" autoLine="0" r:id="rId12">
            <anchor moveWithCells="1">
              <from>
                <xdr:col>15</xdr:col>
                <xdr:colOff>1440180</xdr:colOff>
                <xdr:row>2</xdr:row>
                <xdr:rowOff>160020</xdr:rowOff>
              </from>
              <to>
                <xdr:col>17</xdr:col>
                <xdr:colOff>144780</xdr:colOff>
                <xdr:row>5</xdr:row>
                <xdr:rowOff>45720</xdr:rowOff>
              </to>
            </anchor>
          </controlPr>
        </control>
      </mc:Choice>
      <mc:Fallback>
        <control shapeId="3135" r:id="rId11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2B3B-B303-4A54-A423-112BD9890A84}">
  <sheetPr codeName="Planilha1">
    <tabColor theme="5" tint="0.79998168889431442"/>
  </sheetPr>
  <dimension ref="A1:P212"/>
  <sheetViews>
    <sheetView showGridLines="0" topLeftCell="A145" zoomScale="70" zoomScaleNormal="70" workbookViewId="0">
      <selection activeCell="C169" sqref="C169"/>
    </sheetView>
  </sheetViews>
  <sheetFormatPr defaultRowHeight="13.2" outlineLevelRow="1" x14ac:dyDescent="0.25"/>
  <cols>
    <col min="1" max="1" width="3.88671875" style="15" customWidth="1"/>
    <col min="2" max="2" width="56.33203125" style="15" customWidth="1"/>
    <col min="3" max="3" width="18" style="15" customWidth="1"/>
    <col min="4" max="6" width="13.33203125" style="15" bestFit="1" customWidth="1"/>
    <col min="7" max="7" width="14.21875" style="15" customWidth="1"/>
    <col min="8" max="8" width="13.21875" style="15" bestFit="1" customWidth="1"/>
    <col min="9" max="9" width="15" style="15" customWidth="1"/>
    <col min="10" max="10" width="14.5546875" style="15" customWidth="1"/>
    <col min="11" max="11" width="16.6640625" style="15" customWidth="1"/>
    <col min="12" max="12" width="15" style="15" customWidth="1"/>
    <col min="13" max="13" width="16.88671875" style="15" customWidth="1"/>
    <col min="14" max="14" width="11.77734375" style="15" customWidth="1"/>
    <col min="15" max="15" width="15.77734375" style="15" customWidth="1"/>
    <col min="16" max="16" width="8.88671875" style="15" customWidth="1"/>
    <col min="17" max="16384" width="8.88671875" style="15"/>
  </cols>
  <sheetData>
    <row r="1" spans="1:13" ht="15" thickBot="1" x14ac:dyDescent="0.35">
      <c r="B1" s="45" t="s">
        <v>236</v>
      </c>
      <c r="C1" s="45"/>
      <c r="D1" s="45"/>
      <c r="E1" s="40" t="s">
        <v>217</v>
      </c>
      <c r="F1" s="45"/>
      <c r="G1" s="45"/>
      <c r="H1" s="45"/>
      <c r="I1" s="45"/>
      <c r="J1" s="45"/>
      <c r="K1" s="45"/>
      <c r="L1" s="45"/>
      <c r="M1" s="45"/>
    </row>
    <row r="2" spans="1:13" ht="13.8" thickBot="1" x14ac:dyDescent="0.3">
      <c r="A2" s="15" t="s">
        <v>1</v>
      </c>
      <c r="B2" s="41" t="s">
        <v>67</v>
      </c>
      <c r="C2" s="42">
        <v>2017</v>
      </c>
      <c r="D2" s="42">
        <v>2018</v>
      </c>
      <c r="E2" s="42">
        <v>2019</v>
      </c>
      <c r="F2" s="42">
        <v>2020</v>
      </c>
      <c r="G2" s="42">
        <v>2021</v>
      </c>
      <c r="H2" s="42">
        <v>2022</v>
      </c>
      <c r="I2" s="42">
        <v>2023</v>
      </c>
      <c r="J2" s="42">
        <v>2024</v>
      </c>
      <c r="K2" s="42">
        <v>2025</v>
      </c>
      <c r="L2" s="42">
        <v>2026</v>
      </c>
      <c r="M2" s="43">
        <v>2027</v>
      </c>
    </row>
    <row r="3" spans="1:13" outlineLevel="1" x14ac:dyDescent="0.25">
      <c r="B3" s="54" t="s">
        <v>152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6"/>
    </row>
    <row r="4" spans="1:13" outlineLevel="1" x14ac:dyDescent="0.25">
      <c r="B4" s="60" t="s">
        <v>153</v>
      </c>
      <c r="C4" s="61">
        <v>184790.38999999996</v>
      </c>
      <c r="D4" s="61">
        <v>189107.95</v>
      </c>
      <c r="E4" s="61">
        <v>210892.25</v>
      </c>
      <c r="F4" s="61">
        <v>237256.84</v>
      </c>
      <c r="G4" s="61">
        <v>252868.10999999993</v>
      </c>
      <c r="H4" s="61">
        <f>SUM(H5:H7)</f>
        <v>283983.08819999988</v>
      </c>
      <c r="I4" s="61">
        <f t="shared" ref="I4:M4" si="0">SUM(I5:I7)</f>
        <v>354529.69305599993</v>
      </c>
      <c r="J4" s="61">
        <f t="shared" si="0"/>
        <v>512524.27737083996</v>
      </c>
      <c r="K4" s="61">
        <f t="shared" si="0"/>
        <v>868296.11700951005</v>
      </c>
      <c r="L4" s="61">
        <f t="shared" si="0"/>
        <v>1675455.917384519</v>
      </c>
      <c r="M4" s="62">
        <f t="shared" si="0"/>
        <v>3517121.0595431011</v>
      </c>
    </row>
    <row r="5" spans="1:13" outlineLevel="1" x14ac:dyDescent="0.25">
      <c r="B5" s="63" t="s">
        <v>154</v>
      </c>
      <c r="C5" s="64">
        <v>182039.79999999996</v>
      </c>
      <c r="D5" s="64">
        <v>170052</v>
      </c>
      <c r="E5" s="64">
        <v>160276.41</v>
      </c>
      <c r="F5" s="64">
        <v>136869</v>
      </c>
      <c r="G5" s="64">
        <v>112199.61999999992</v>
      </c>
      <c r="H5" s="65">
        <f>G5*(1+CENÁRIOS!$I$4)</f>
        <v>125663.57439999992</v>
      </c>
      <c r="I5" s="65">
        <f>H5*(1+CENÁRIOS!$I$4)</f>
        <v>140743.20332799992</v>
      </c>
      <c r="J5" s="65">
        <f>I5*(1+CENÁRIOS!$I$4)</f>
        <v>157632.38772735992</v>
      </c>
      <c r="K5" s="65">
        <f>J5*(1+CENÁRIOS!$I$4)</f>
        <v>176548.27425464313</v>
      </c>
      <c r="L5" s="65">
        <f>K5*(1+CENÁRIOS!$I$4)</f>
        <v>197734.06716520031</v>
      </c>
      <c r="M5" s="66">
        <f>L5*(1+CENÁRIOS!$I$4)</f>
        <v>221462.15522502435</v>
      </c>
    </row>
    <row r="6" spans="1:13" outlineLevel="1" x14ac:dyDescent="0.25">
      <c r="B6" s="63" t="s">
        <v>155</v>
      </c>
      <c r="C6" s="64">
        <v>2750.59</v>
      </c>
      <c r="D6" s="64">
        <v>19055.949999999997</v>
      </c>
      <c r="E6" s="64">
        <v>50615.839999999997</v>
      </c>
      <c r="F6" s="64">
        <v>78053</v>
      </c>
      <c r="G6" s="64">
        <v>118861.87999999999</v>
      </c>
      <c r="H6" s="65">
        <f>G6*(1+CENÁRIOS!$I$5)</f>
        <v>108164.31079999999</v>
      </c>
      <c r="I6" s="65">
        <f>H6*(1+CENÁRIOS!$I$5)</f>
        <v>98429.522828000001</v>
      </c>
      <c r="J6" s="65">
        <f>I6*(1+CENÁRIOS!$I$5)</f>
        <v>89570.865773480007</v>
      </c>
      <c r="K6" s="65">
        <f>J6*(1+CENÁRIOS!$I$5)</f>
        <v>81509.487853866813</v>
      </c>
      <c r="L6" s="65">
        <f>K6*(1+CENÁRIOS!$I$5)</f>
        <v>74173.633947018796</v>
      </c>
      <c r="M6" s="66">
        <f>L6*(1+CENÁRIOS!$I$5)</f>
        <v>67498.00689178711</v>
      </c>
    </row>
    <row r="7" spans="1:13" outlineLevel="1" x14ac:dyDescent="0.25">
      <c r="B7" s="63" t="s">
        <v>156</v>
      </c>
      <c r="C7" s="64"/>
      <c r="D7" s="64"/>
      <c r="E7" s="64"/>
      <c r="F7" s="64">
        <v>22334.84</v>
      </c>
      <c r="G7" s="64">
        <v>21806.610000000004</v>
      </c>
      <c r="H7" s="65">
        <f>G7*(1+CENÁRIOS!$I$6)</f>
        <v>50155.203000000009</v>
      </c>
      <c r="I7" s="65">
        <f>H7*(1+CENÁRIOS!$I$6)</f>
        <v>115356.96690000001</v>
      </c>
      <c r="J7" s="65">
        <f>I7*(1+CENÁRIOS!$I$6)</f>
        <v>265321.02387000003</v>
      </c>
      <c r="K7" s="65">
        <f>J7*(1+CENÁRIOS!$I$6)</f>
        <v>610238.35490100004</v>
      </c>
      <c r="L7" s="65">
        <f>K7*(1+CENÁRIOS!$I$6)</f>
        <v>1403548.2162722999</v>
      </c>
      <c r="M7" s="66">
        <f>L7*(1+CENÁRIOS!$I$6)</f>
        <v>3228160.8974262895</v>
      </c>
    </row>
    <row r="8" spans="1:13" outlineLevel="1" x14ac:dyDescent="0.25">
      <c r="B8" s="60" t="s">
        <v>157</v>
      </c>
      <c r="C8" s="61">
        <v>188</v>
      </c>
      <c r="D8" s="61">
        <v>192</v>
      </c>
      <c r="E8" s="61">
        <v>210</v>
      </c>
      <c r="F8" s="61">
        <v>233</v>
      </c>
      <c r="G8" s="61">
        <v>248</v>
      </c>
      <c r="H8" s="67">
        <f>H9+H16+H18</f>
        <v>251.88</v>
      </c>
      <c r="I8" s="67">
        <f t="shared" ref="I8:M8" si="1">I9+I16+I18</f>
        <v>255.91520000000003</v>
      </c>
      <c r="J8" s="67">
        <f t="shared" si="1"/>
        <v>260.111808</v>
      </c>
      <c r="K8" s="67">
        <f t="shared" si="1"/>
        <v>264.47628032</v>
      </c>
      <c r="L8" s="67">
        <f>L9+L16+L18</f>
        <v>269.01533153280002</v>
      </c>
      <c r="M8" s="68">
        <f t="shared" si="1"/>
        <v>273.73594479411202</v>
      </c>
    </row>
    <row r="9" spans="1:13" outlineLevel="1" x14ac:dyDescent="0.25">
      <c r="B9" s="60" t="s">
        <v>158</v>
      </c>
      <c r="C9" s="61">
        <v>187</v>
      </c>
      <c r="D9" s="61">
        <v>191</v>
      </c>
      <c r="E9" s="61">
        <v>209</v>
      </c>
      <c r="F9" s="61">
        <v>210</v>
      </c>
      <c r="G9" s="61">
        <v>226</v>
      </c>
      <c r="H9" s="69">
        <f>H10+H11</f>
        <v>229.88</v>
      </c>
      <c r="I9" s="69">
        <f t="shared" ref="I9:M9" si="2">I10+I11</f>
        <v>233.91520000000003</v>
      </c>
      <c r="J9" s="69">
        <f>J10+J11</f>
        <v>238.111808</v>
      </c>
      <c r="K9" s="69">
        <f t="shared" si="2"/>
        <v>242.47628032</v>
      </c>
      <c r="L9" s="69">
        <f>L10+L11</f>
        <v>247.01533153280002</v>
      </c>
      <c r="M9" s="70">
        <f t="shared" si="2"/>
        <v>251.73594479411202</v>
      </c>
    </row>
    <row r="10" spans="1:13" outlineLevel="1" x14ac:dyDescent="0.25">
      <c r="B10" s="50" t="s">
        <v>159</v>
      </c>
      <c r="C10" s="61">
        <v>184</v>
      </c>
      <c r="D10" s="71">
        <v>175</v>
      </c>
      <c r="E10" s="61">
        <v>166</v>
      </c>
      <c r="F10" s="61">
        <v>149</v>
      </c>
      <c r="G10" s="61">
        <v>129</v>
      </c>
      <c r="H10" s="69">
        <f>G10*(1+CENÁRIOS!$I$7)</f>
        <v>129</v>
      </c>
      <c r="I10" s="69">
        <f>H10*(1+CENÁRIOS!$I$7)</f>
        <v>129</v>
      </c>
      <c r="J10" s="69">
        <f>I10*(1+CENÁRIOS!$I$7)</f>
        <v>129</v>
      </c>
      <c r="K10" s="69">
        <f>J10*(1+CENÁRIOS!$I$7)</f>
        <v>129</v>
      </c>
      <c r="L10" s="69">
        <f>K10*(1+CENÁRIOS!$I$7)</f>
        <v>129</v>
      </c>
      <c r="M10" s="70">
        <f>L10*(1+CENÁRIOS!$I$7)</f>
        <v>129</v>
      </c>
    </row>
    <row r="11" spans="1:13" outlineLevel="1" x14ac:dyDescent="0.25">
      <c r="B11" s="50" t="s">
        <v>160</v>
      </c>
      <c r="C11" s="61">
        <v>3</v>
      </c>
      <c r="D11" s="61">
        <v>16</v>
      </c>
      <c r="E11" s="61">
        <v>43</v>
      </c>
      <c r="F11" s="61">
        <v>61</v>
      </c>
      <c r="G11" s="61">
        <v>97</v>
      </c>
      <c r="H11" s="67">
        <f>G11*(1+CENÁRIOS!$I$8)</f>
        <v>100.88000000000001</v>
      </c>
      <c r="I11" s="67">
        <f>H11*(1+CENÁRIOS!$I$8)</f>
        <v>104.91520000000001</v>
      </c>
      <c r="J11" s="67">
        <f>I11*(1+CENÁRIOS!$I$8)</f>
        <v>109.11180800000001</v>
      </c>
      <c r="K11" s="67">
        <f>J11*(1+CENÁRIOS!$I$8)</f>
        <v>113.47628032000001</v>
      </c>
      <c r="L11" s="67">
        <f>K11*(1+CENÁRIOS!$I$8)</f>
        <v>118.01533153280002</v>
      </c>
      <c r="M11" s="68">
        <f>L11*(1+CENÁRIOS!$I$8)</f>
        <v>122.73594479411203</v>
      </c>
    </row>
    <row r="12" spans="1:13" outlineLevel="1" x14ac:dyDescent="0.25">
      <c r="B12" s="63" t="s">
        <v>161</v>
      </c>
      <c r="C12" s="64">
        <v>1</v>
      </c>
      <c r="D12" s="64">
        <v>5</v>
      </c>
      <c r="E12" s="64">
        <v>23</v>
      </c>
      <c r="F12" s="64">
        <v>27</v>
      </c>
      <c r="G12" s="64">
        <v>44</v>
      </c>
      <c r="H12" s="72"/>
      <c r="I12" s="72"/>
      <c r="J12" s="72"/>
      <c r="K12" s="72"/>
      <c r="L12" s="72"/>
      <c r="M12" s="73"/>
    </row>
    <row r="13" spans="1:13" outlineLevel="1" x14ac:dyDescent="0.25">
      <c r="B13" s="63" t="s">
        <v>162</v>
      </c>
      <c r="C13" s="64">
        <v>2</v>
      </c>
      <c r="D13" s="64">
        <v>11</v>
      </c>
      <c r="E13" s="64">
        <v>20</v>
      </c>
      <c r="F13" s="64">
        <v>34</v>
      </c>
      <c r="G13" s="64">
        <v>53</v>
      </c>
      <c r="H13" s="72"/>
      <c r="I13" s="72"/>
      <c r="J13" s="72"/>
      <c r="K13" s="72"/>
      <c r="L13" s="72"/>
      <c r="M13" s="73"/>
    </row>
    <row r="14" spans="1:13" outlineLevel="1" x14ac:dyDescent="0.25">
      <c r="B14" s="63" t="s">
        <v>163</v>
      </c>
      <c r="C14" s="64"/>
      <c r="D14" s="64"/>
      <c r="E14" s="64"/>
      <c r="F14" s="64"/>
      <c r="G14" s="64">
        <v>1</v>
      </c>
      <c r="H14" s="72"/>
      <c r="I14" s="72"/>
      <c r="J14" s="72"/>
      <c r="K14" s="72"/>
      <c r="L14" s="72"/>
      <c r="M14" s="73"/>
    </row>
    <row r="15" spans="1:13" outlineLevel="1" x14ac:dyDescent="0.25">
      <c r="B15" s="63" t="s">
        <v>164</v>
      </c>
      <c r="C15" s="64"/>
      <c r="D15" s="64"/>
      <c r="E15" s="64"/>
      <c r="F15" s="64"/>
      <c r="G15" s="64">
        <v>10</v>
      </c>
      <c r="H15" s="72"/>
      <c r="I15" s="72"/>
      <c r="J15" s="72"/>
      <c r="K15" s="72"/>
      <c r="L15" s="72"/>
      <c r="M15" s="73"/>
    </row>
    <row r="16" spans="1:13" outlineLevel="1" x14ac:dyDescent="0.25">
      <c r="B16" s="50" t="s">
        <v>165</v>
      </c>
      <c r="C16" s="61"/>
      <c r="D16" s="61"/>
      <c r="E16" s="61"/>
      <c r="F16" s="61">
        <v>22</v>
      </c>
      <c r="G16" s="61">
        <v>21</v>
      </c>
      <c r="H16" s="74">
        <f>21</f>
        <v>21</v>
      </c>
      <c r="I16" s="74">
        <f>21</f>
        <v>21</v>
      </c>
      <c r="J16" s="74">
        <f>21</f>
        <v>21</v>
      </c>
      <c r="K16" s="74">
        <f>21</f>
        <v>21</v>
      </c>
      <c r="L16" s="74">
        <f>21</f>
        <v>21</v>
      </c>
      <c r="M16" s="75">
        <f>21</f>
        <v>21</v>
      </c>
    </row>
    <row r="17" spans="1:13" outlineLevel="1" x14ac:dyDescent="0.25">
      <c r="B17" s="63" t="s">
        <v>166</v>
      </c>
      <c r="C17" s="64"/>
      <c r="D17" s="64"/>
      <c r="E17" s="64"/>
      <c r="F17" s="64"/>
      <c r="G17" s="64"/>
      <c r="H17" s="72"/>
      <c r="I17" s="72"/>
      <c r="J17" s="72"/>
      <c r="K17" s="72"/>
      <c r="L17" s="72"/>
      <c r="M17" s="73"/>
    </row>
    <row r="18" spans="1:13" outlineLevel="1" x14ac:dyDescent="0.25">
      <c r="B18" s="50" t="s">
        <v>167</v>
      </c>
      <c r="C18" s="61">
        <v>1</v>
      </c>
      <c r="D18" s="61">
        <v>1</v>
      </c>
      <c r="E18" s="61">
        <v>1</v>
      </c>
      <c r="F18" s="61">
        <v>1</v>
      </c>
      <c r="G18" s="61">
        <v>1</v>
      </c>
      <c r="H18" s="65">
        <f>1</f>
        <v>1</v>
      </c>
      <c r="I18" s="65">
        <f t="shared" ref="I18:M18" si="3">H18</f>
        <v>1</v>
      </c>
      <c r="J18" s="65">
        <f t="shared" si="3"/>
        <v>1</v>
      </c>
      <c r="K18" s="65">
        <f t="shared" si="3"/>
        <v>1</v>
      </c>
      <c r="L18" s="65">
        <f t="shared" si="3"/>
        <v>1</v>
      </c>
      <c r="M18" s="66">
        <f t="shared" si="3"/>
        <v>1</v>
      </c>
    </row>
    <row r="19" spans="1:13" outlineLevel="1" x14ac:dyDescent="0.25">
      <c r="B19" s="76"/>
      <c r="C19" s="61"/>
      <c r="D19" s="61"/>
      <c r="E19" s="61"/>
      <c r="F19" s="61"/>
      <c r="G19" s="61"/>
      <c r="H19" s="72"/>
      <c r="I19" s="72"/>
      <c r="J19" s="72"/>
      <c r="K19" s="72"/>
      <c r="L19" s="72"/>
      <c r="M19" s="73"/>
    </row>
    <row r="20" spans="1:13" outlineLevel="1" x14ac:dyDescent="0.25">
      <c r="B20" s="50"/>
      <c r="C20" s="61"/>
      <c r="D20" s="61"/>
      <c r="E20" s="61"/>
      <c r="F20" s="61"/>
      <c r="G20" s="61"/>
      <c r="H20" s="72"/>
      <c r="I20" s="72"/>
      <c r="J20" s="72"/>
      <c r="K20" s="72"/>
      <c r="L20" s="72"/>
      <c r="M20" s="73"/>
    </row>
    <row r="21" spans="1:13" outlineLevel="1" x14ac:dyDescent="0.25">
      <c r="B21" s="50"/>
      <c r="C21" s="61"/>
      <c r="D21" s="61"/>
      <c r="E21" s="61"/>
      <c r="F21" s="61"/>
      <c r="G21" s="61"/>
      <c r="H21" s="72"/>
      <c r="I21" s="72"/>
      <c r="J21" s="72"/>
      <c r="K21" s="72"/>
      <c r="L21" s="72"/>
      <c r="M21" s="73"/>
    </row>
    <row r="22" spans="1:13" outlineLevel="1" x14ac:dyDescent="0.25">
      <c r="B22" s="57" t="s">
        <v>191</v>
      </c>
      <c r="C22" s="253">
        <v>2017</v>
      </c>
      <c r="D22" s="253">
        <v>2018</v>
      </c>
      <c r="E22" s="253">
        <v>2019</v>
      </c>
      <c r="F22" s="253">
        <v>2020</v>
      </c>
      <c r="G22" s="253">
        <v>2021</v>
      </c>
      <c r="H22" s="253">
        <v>2022</v>
      </c>
      <c r="I22" s="253">
        <v>2023</v>
      </c>
      <c r="J22" s="253">
        <v>2024</v>
      </c>
      <c r="K22" s="253">
        <v>2025</v>
      </c>
      <c r="L22" s="253">
        <v>2026</v>
      </c>
      <c r="M22" s="254">
        <v>2027</v>
      </c>
    </row>
    <row r="23" spans="1:13" ht="14.4" outlineLevel="1" x14ac:dyDescent="0.3">
      <c r="B23" s="77" t="s">
        <v>168</v>
      </c>
      <c r="C23" s="78">
        <v>2.9499999999999998E-2</v>
      </c>
      <c r="D23" s="78">
        <v>3.7499999999999999E-2</v>
      </c>
      <c r="E23" s="78">
        <v>4.3099999999999999E-2</v>
      </c>
      <c r="F23" s="78">
        <v>4.5199999999999997E-2</v>
      </c>
      <c r="G23" s="78">
        <v>0.10059999999999999</v>
      </c>
      <c r="H23" s="78">
        <v>8.5500000000000007E-2</v>
      </c>
      <c r="I23" s="78">
        <v>4.2200000000000001E-2</v>
      </c>
      <c r="J23" s="78">
        <v>3.3000000000000002E-2</v>
      </c>
      <c r="K23" s="78">
        <v>0.03</v>
      </c>
      <c r="L23" s="78">
        <v>0.03</v>
      </c>
      <c r="M23" s="79">
        <f>L23*(1+30%)</f>
        <v>3.9E-2</v>
      </c>
    </row>
    <row r="24" spans="1:13" ht="14.4" outlineLevel="1" x14ac:dyDescent="0.3">
      <c r="B24" s="77" t="s">
        <v>169</v>
      </c>
      <c r="C24" s="78">
        <v>9.9199999999999997E-2</v>
      </c>
      <c r="D24" s="78">
        <v>6.5600000000000006E-2</v>
      </c>
      <c r="E24" s="78">
        <v>5.96E-2</v>
      </c>
      <c r="F24" s="78">
        <v>2.81E-2</v>
      </c>
      <c r="G24" s="78">
        <v>4.8099999999999997E-2</v>
      </c>
      <c r="H24" s="78">
        <v>0.1263</v>
      </c>
      <c r="I24" s="78">
        <v>0.12039999999999999</v>
      </c>
      <c r="J24" s="78">
        <v>8.7499999999999994E-2</v>
      </c>
      <c r="K24" s="78">
        <v>7.8100000000000003E-2</v>
      </c>
      <c r="L24" s="78">
        <v>6.8099999999999994E-2</v>
      </c>
      <c r="M24" s="79">
        <f>L24*(1+30%)</f>
        <v>8.8529999999999998E-2</v>
      </c>
    </row>
    <row r="25" spans="1:13" ht="14.4" outlineLevel="1" x14ac:dyDescent="0.3">
      <c r="B25" s="77" t="s">
        <v>170</v>
      </c>
      <c r="C25" s="78">
        <v>0.10050000000000001</v>
      </c>
      <c r="D25" s="78">
        <v>6.4799999999999996E-2</v>
      </c>
      <c r="E25" s="78">
        <v>5.9400000000000001E-2</v>
      </c>
      <c r="F25" s="78">
        <v>2.7799999999999998E-2</v>
      </c>
      <c r="G25" s="78">
        <v>4.3999999999999997E-2</v>
      </c>
      <c r="H25" s="78">
        <v>0.1241</v>
      </c>
      <c r="I25" s="78">
        <v>0.121</v>
      </c>
      <c r="J25" s="78">
        <v>8.6400000000000005E-2</v>
      </c>
      <c r="K25" s="78">
        <v>7.7399999999999997E-2</v>
      </c>
      <c r="L25" s="78">
        <v>6.7100000000000007E-2</v>
      </c>
      <c r="M25" s="79">
        <f t="shared" ref="M25" si="4">L25*(1+30%)</f>
        <v>8.7230000000000016E-2</v>
      </c>
    </row>
    <row r="26" spans="1:13" ht="14.4" outlineLevel="1" x14ac:dyDescent="0.3">
      <c r="B26" s="76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73"/>
    </row>
    <row r="27" spans="1:13" outlineLevel="1" x14ac:dyDescent="0.25">
      <c r="B27" s="76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3"/>
    </row>
    <row r="28" spans="1:13" ht="13.8" outlineLevel="1" thickBot="1" x14ac:dyDescent="0.3">
      <c r="B28" s="81"/>
      <c r="C28" s="82"/>
      <c r="D28" s="82"/>
      <c r="E28" s="255"/>
      <c r="F28" s="82"/>
      <c r="G28" s="82"/>
      <c r="H28" s="82"/>
      <c r="I28" s="82"/>
      <c r="J28" s="82"/>
      <c r="K28" s="82"/>
      <c r="L28" s="82"/>
      <c r="M28" s="83"/>
    </row>
    <row r="29" spans="1:13" ht="13.8" thickBot="1" x14ac:dyDescent="0.3">
      <c r="A29" s="15" t="s">
        <v>1</v>
      </c>
      <c r="B29" s="41" t="s">
        <v>0</v>
      </c>
      <c r="C29" s="42">
        <v>2017</v>
      </c>
      <c r="D29" s="42">
        <v>2018</v>
      </c>
      <c r="E29" s="42">
        <v>2019</v>
      </c>
      <c r="F29" s="42">
        <v>2020</v>
      </c>
      <c r="G29" s="42">
        <v>2021</v>
      </c>
      <c r="H29" s="42">
        <v>2022</v>
      </c>
      <c r="I29" s="42">
        <v>2023</v>
      </c>
      <c r="J29" s="42">
        <v>2024</v>
      </c>
      <c r="K29" s="42">
        <v>2025</v>
      </c>
      <c r="L29" s="42">
        <v>2026</v>
      </c>
      <c r="M29" s="43">
        <v>2027</v>
      </c>
    </row>
    <row r="30" spans="1:13" outlineLevel="1" x14ac:dyDescent="0.25">
      <c r="B30" s="84"/>
      <c r="C30" s="85"/>
      <c r="D30" s="85"/>
      <c r="E30" s="85"/>
      <c r="F30" s="85"/>
      <c r="G30" s="85"/>
      <c r="H30" s="86"/>
      <c r="I30" s="86"/>
      <c r="J30" s="86"/>
      <c r="K30" s="86"/>
      <c r="L30" s="86"/>
      <c r="M30" s="87"/>
    </row>
    <row r="31" spans="1:13" outlineLevel="1" x14ac:dyDescent="0.25">
      <c r="B31" s="77" t="s">
        <v>2</v>
      </c>
      <c r="C31" s="61">
        <f>DRE!B2</f>
        <v>2478471.02134</v>
      </c>
      <c r="D31" s="61">
        <f>DRE!C2</f>
        <v>2844800</v>
      </c>
      <c r="E31" s="61">
        <f>DRE!D2</f>
        <v>3193066</v>
      </c>
      <c r="F31" s="61">
        <f>DRE!E2</f>
        <v>3050555</v>
      </c>
      <c r="G31" s="61">
        <f>DRE!F2</f>
        <v>6389593</v>
      </c>
      <c r="H31" s="67">
        <f>H87*(CENÁRIOS!$I$10+CENÁRIOS!$I$11+CENÁRIOS!$I$12)+35.6%*VALUATION!G31</f>
        <v>7343866.9300800003</v>
      </c>
      <c r="I31" s="67">
        <f>I87*(CENÁRIOS!$I$10+CENÁRIOS!$I$11+CENÁRIOS!$I$12)+35.6%*VALUATION!H31</f>
        <v>7987738.7585132811</v>
      </c>
      <c r="J31" s="67">
        <f>J87*(CENÁRIOS!$I$10+CENÁRIOS!$I$11+CENÁRIOS!$I$12)+35.6%*VALUATION!I31</f>
        <v>8539356.4573198166</v>
      </c>
      <c r="K31" s="67">
        <f>K87*(CENÁRIOS!$I$10+CENÁRIOS!$I$11+CENÁRIOS!$I$12)+35.6%*VALUATION!J31</f>
        <v>9077475.6456522886</v>
      </c>
      <c r="L31" s="67">
        <f>L87*(CENÁRIOS!$I$10+CENÁRIOS!$I$11+CENÁRIOS!$I$12)+35.6%*VALUATION!K31</f>
        <v>9631293.9615094345</v>
      </c>
      <c r="M31" s="68">
        <f>M87*(CENÁRIOS!$I$10+CENÁRIOS!$I$11+CENÁRIOS!$I$12)+35.6%*VALUATION!L31</f>
        <v>10212436.039854012</v>
      </c>
    </row>
    <row r="32" spans="1:13" outlineLevel="1" x14ac:dyDescent="0.25">
      <c r="B32" s="76" t="s">
        <v>3</v>
      </c>
      <c r="C32" s="64">
        <v>509899.37203999981</v>
      </c>
      <c r="D32" s="64">
        <v>569743</v>
      </c>
      <c r="E32" s="64">
        <v>647643.89741000067</v>
      </c>
      <c r="F32" s="64">
        <v>662496</v>
      </c>
      <c r="G32" s="64">
        <v>1279131</v>
      </c>
      <c r="H32" s="65">
        <f>G32*(1+CENÁRIOS!$I$15)</f>
        <v>1407044.1</v>
      </c>
      <c r="I32" s="65">
        <f>H32*(1+CENÁRIOS!$I$15)</f>
        <v>1547748.5100000002</v>
      </c>
      <c r="J32" s="65">
        <f>I32*(1+CENÁRIOS!$I$15)</f>
        <v>1702523.3610000005</v>
      </c>
      <c r="K32" s="65">
        <f>J32*(1+CENÁRIOS!$I$15)</f>
        <v>1872775.6971000007</v>
      </c>
      <c r="L32" s="65">
        <f>K32*(1+CENÁRIOS!$I$15)</f>
        <v>2060053.2668100009</v>
      </c>
      <c r="M32" s="66">
        <f>L32*(1+CENÁRIOS!$I$15)</f>
        <v>2266058.5934910011</v>
      </c>
    </row>
    <row r="33" spans="2:13" outlineLevel="1" x14ac:dyDescent="0.25">
      <c r="B33" s="77" t="s">
        <v>4</v>
      </c>
      <c r="C33" s="61">
        <f>C31-C32</f>
        <v>1968571.6493000002</v>
      </c>
      <c r="D33" s="61">
        <f t="shared" ref="D33:G33" si="5">D31-D32</f>
        <v>2275057</v>
      </c>
      <c r="E33" s="61">
        <f t="shared" si="5"/>
        <v>2545422.1025899993</v>
      </c>
      <c r="F33" s="61">
        <f t="shared" si="5"/>
        <v>2388059</v>
      </c>
      <c r="G33" s="61">
        <f t="shared" si="5"/>
        <v>5110462</v>
      </c>
      <c r="H33" s="61">
        <f t="shared" ref="H33:M33" si="6">H31-H32</f>
        <v>5936822.8300800007</v>
      </c>
      <c r="I33" s="61">
        <f t="shared" si="6"/>
        <v>6439990.2485132813</v>
      </c>
      <c r="J33" s="61">
        <f t="shared" si="6"/>
        <v>6836833.0963198161</v>
      </c>
      <c r="K33" s="61">
        <f t="shared" si="6"/>
        <v>7204699.9485522881</v>
      </c>
      <c r="L33" s="61">
        <f t="shared" si="6"/>
        <v>7571240.6946994336</v>
      </c>
      <c r="M33" s="62">
        <f t="shared" si="6"/>
        <v>7946377.4463630114</v>
      </c>
    </row>
    <row r="34" spans="2:13" outlineLevel="1" x14ac:dyDescent="0.25">
      <c r="B34" s="77"/>
      <c r="C34" s="64"/>
      <c r="D34" s="64"/>
      <c r="E34" s="64"/>
      <c r="F34" s="64"/>
      <c r="G34" s="64"/>
      <c r="H34" s="72"/>
      <c r="I34" s="72"/>
      <c r="J34" s="72"/>
      <c r="K34" s="72"/>
      <c r="L34" s="72"/>
      <c r="M34" s="73"/>
    </row>
    <row r="35" spans="2:13" outlineLevel="1" x14ac:dyDescent="0.25">
      <c r="B35" s="76" t="s">
        <v>5</v>
      </c>
      <c r="C35" s="64">
        <f>DRE!B11</f>
        <v>-1006602</v>
      </c>
      <c r="D35" s="64">
        <f>DRE!C11</f>
        <v>-1159124</v>
      </c>
      <c r="E35" s="64">
        <f>DRE!D11</f>
        <v>-1286810</v>
      </c>
      <c r="F35" s="64">
        <f>DRE!E11</f>
        <v>-1346071</v>
      </c>
      <c r="G35" s="64">
        <f>DRE!F11</f>
        <v>-2758851</v>
      </c>
      <c r="H35" s="65">
        <f>G35*(1+CENÁRIOS!$I$16)</f>
        <v>-3034736.1</v>
      </c>
      <c r="I35" s="65">
        <f>H35*(1+CENÁRIOS!$I$16)</f>
        <v>-3338209.7100000004</v>
      </c>
      <c r="J35" s="65">
        <f>I35*(1+CENÁRIOS!$I$16)</f>
        <v>-3672030.6810000008</v>
      </c>
      <c r="K35" s="65">
        <f>J35*(1+CENÁRIOS!$I$16)</f>
        <v>-4039233.7491000011</v>
      </c>
      <c r="L35" s="65">
        <f>K35*(1+CENÁRIOS!$I$16)</f>
        <v>-4443157.1240100013</v>
      </c>
      <c r="M35" s="66">
        <f>L35*(1+CENÁRIOS!$I$16)</f>
        <v>-4887472.8364110021</v>
      </c>
    </row>
    <row r="36" spans="2:13" outlineLevel="1" x14ac:dyDescent="0.25">
      <c r="B36" s="77" t="s">
        <v>6</v>
      </c>
      <c r="C36" s="61">
        <f t="shared" ref="C36:H36" si="7">C33+C35</f>
        <v>961969.64930000016</v>
      </c>
      <c r="D36" s="61">
        <f t="shared" si="7"/>
        <v>1115933</v>
      </c>
      <c r="E36" s="61">
        <f t="shared" si="7"/>
        <v>1258612.1025899993</v>
      </c>
      <c r="F36" s="61">
        <f t="shared" si="7"/>
        <v>1041988</v>
      </c>
      <c r="G36" s="61">
        <f t="shared" si="7"/>
        <v>2351611</v>
      </c>
      <c r="H36" s="67">
        <f t="shared" si="7"/>
        <v>2902086.7300800006</v>
      </c>
      <c r="I36" s="67">
        <f t="shared" ref="I36:M36" si="8">I33+I35</f>
        <v>3101780.5385132809</v>
      </c>
      <c r="J36" s="67">
        <f t="shared" si="8"/>
        <v>3164802.4153198153</v>
      </c>
      <c r="K36" s="67">
        <f t="shared" si="8"/>
        <v>3165466.1994522871</v>
      </c>
      <c r="L36" s="67">
        <f t="shared" si="8"/>
        <v>3128083.5706894323</v>
      </c>
      <c r="M36" s="68">
        <f t="shared" si="8"/>
        <v>3058904.6099520093</v>
      </c>
    </row>
    <row r="37" spans="2:13" outlineLevel="1" x14ac:dyDescent="0.25">
      <c r="B37" s="88" t="s">
        <v>7</v>
      </c>
      <c r="C37" s="89">
        <f t="shared" ref="C37:H37" si="9">C36/C33</f>
        <v>0.48866377286397716</v>
      </c>
      <c r="D37" s="89">
        <f t="shared" si="9"/>
        <v>0.490507710356268</v>
      </c>
      <c r="E37" s="89">
        <f t="shared" si="9"/>
        <v>0.49446105669835488</v>
      </c>
      <c r="F37" s="89">
        <f t="shared" si="9"/>
        <v>0.43633260317270217</v>
      </c>
      <c r="G37" s="89">
        <f t="shared" si="9"/>
        <v>0.46015624419083834</v>
      </c>
      <c r="H37" s="89">
        <f t="shared" si="9"/>
        <v>0.48882825260946755</v>
      </c>
      <c r="I37" s="89">
        <f t="shared" ref="I37:M37" si="10">I36/I33</f>
        <v>0.48164367007067277</v>
      </c>
      <c r="J37" s="89">
        <f t="shared" si="10"/>
        <v>0.46290473538448523</v>
      </c>
      <c r="K37" s="89">
        <f t="shared" si="10"/>
        <v>0.43936128111599643</v>
      </c>
      <c r="L37" s="89">
        <f t="shared" si="10"/>
        <v>0.41315336505935929</v>
      </c>
      <c r="M37" s="90">
        <f t="shared" si="10"/>
        <v>0.38494328146368678</v>
      </c>
    </row>
    <row r="38" spans="2:13" outlineLevel="1" x14ac:dyDescent="0.25">
      <c r="B38" s="88"/>
      <c r="C38" s="64"/>
      <c r="D38" s="64"/>
      <c r="E38" s="64"/>
      <c r="F38" s="64"/>
      <c r="G38" s="64"/>
      <c r="H38" s="72"/>
      <c r="I38" s="72"/>
      <c r="J38" s="72"/>
      <c r="K38" s="72"/>
      <c r="L38" s="72"/>
      <c r="M38" s="73"/>
    </row>
    <row r="39" spans="2:13" outlineLevel="1" x14ac:dyDescent="0.25">
      <c r="B39" s="77" t="s">
        <v>68</v>
      </c>
      <c r="C39" s="61">
        <f>DRE!B16</f>
        <v>-705520</v>
      </c>
      <c r="D39" s="61">
        <f>DRE!C16</f>
        <v>-769040</v>
      </c>
      <c r="E39" s="61">
        <f>DRE!D16</f>
        <v>-846498</v>
      </c>
      <c r="F39" s="61">
        <f>DRE!E16</f>
        <v>-863193</v>
      </c>
      <c r="G39" s="61">
        <f>DRE!F16</f>
        <v>-1529670.0022699975</v>
      </c>
      <c r="H39" s="67">
        <f>G39*(1+CENÁRIOS!$I$17)</f>
        <v>-1682637.0024969974</v>
      </c>
      <c r="I39" s="67">
        <f>H39*(1+CENÁRIOS!$I$17)</f>
        <v>-1850900.7027466972</v>
      </c>
      <c r="J39" s="67">
        <f>I39*(1+CENÁRIOS!$I$17)</f>
        <v>-2035990.7730213671</v>
      </c>
      <c r="K39" s="67">
        <f>J39*(1+CENÁRIOS!$I$17)</f>
        <v>-2239589.8503235038</v>
      </c>
      <c r="L39" s="67">
        <f>K39*(1+CENÁRIOS!$I$17)</f>
        <v>-2463548.8353558546</v>
      </c>
      <c r="M39" s="68">
        <f>L39*(1+CENÁRIOS!$I$17)</f>
        <v>-2709903.7188914404</v>
      </c>
    </row>
    <row r="40" spans="2:13" outlineLevel="1" x14ac:dyDescent="0.25">
      <c r="B40" s="88" t="s">
        <v>69</v>
      </c>
      <c r="C40" s="89">
        <f>ABS(C39/C33)</f>
        <v>0.35839183209352538</v>
      </c>
      <c r="D40" s="89">
        <f t="shared" ref="D40:M40" si="11">ABS(D39/D33)</f>
        <v>0.33803109108914636</v>
      </c>
      <c r="E40" s="89">
        <f t="shared" si="11"/>
        <v>0.33255702429026507</v>
      </c>
      <c r="F40" s="89">
        <f t="shared" si="11"/>
        <v>0.36146217492951388</v>
      </c>
      <c r="G40" s="89">
        <f t="shared" si="11"/>
        <v>0.29932127511563483</v>
      </c>
      <c r="H40" s="89">
        <f t="shared" si="11"/>
        <v>0.28342381955068774</v>
      </c>
      <c r="I40" s="89">
        <f t="shared" si="11"/>
        <v>0.28740737661427224</v>
      </c>
      <c r="J40" s="89">
        <f t="shared" si="11"/>
        <v>0.29779734920212053</v>
      </c>
      <c r="K40" s="89">
        <f t="shared" si="11"/>
        <v>0.31085123132345394</v>
      </c>
      <c r="L40" s="89">
        <f t="shared" si="11"/>
        <v>0.32538244849098058</v>
      </c>
      <c r="M40" s="90">
        <f t="shared" si="11"/>
        <v>0.3410237856410584</v>
      </c>
    </row>
    <row r="41" spans="2:13" outlineLevel="1" x14ac:dyDescent="0.25">
      <c r="B41" s="88"/>
      <c r="C41" s="64"/>
      <c r="D41" s="64"/>
      <c r="E41" s="64"/>
      <c r="F41" s="64"/>
      <c r="G41" s="64"/>
      <c r="H41" s="72"/>
      <c r="I41" s="72"/>
      <c r="J41" s="72"/>
      <c r="K41" s="72"/>
      <c r="L41" s="72"/>
      <c r="M41" s="73"/>
    </row>
    <row r="42" spans="2:13" outlineLevel="1" x14ac:dyDescent="0.25">
      <c r="B42" s="77" t="s">
        <v>70</v>
      </c>
      <c r="C42" s="61">
        <f>DRE!B17</f>
        <v>-160219.69615</v>
      </c>
      <c r="D42" s="61">
        <f>DRE!C17</f>
        <v>-169649</v>
      </c>
      <c r="E42" s="61">
        <f>DRE!D17</f>
        <v>-337071</v>
      </c>
      <c r="F42" s="61">
        <f>DRE!E17</f>
        <v>-251417</v>
      </c>
      <c r="G42" s="61">
        <f>DRE!F17</f>
        <v>-387892.97855999955</v>
      </c>
      <c r="H42" s="67">
        <f>G42*(1+CENÁRIOS!$I$18)</f>
        <v>-484866.22319999943</v>
      </c>
      <c r="I42" s="67">
        <f>H42*(1+CENÁRIOS!$I$18)</f>
        <v>-606082.77899999928</v>
      </c>
      <c r="J42" s="67">
        <f>I42*(1+CENÁRIOS!$I$18)</f>
        <v>-757603.47374999907</v>
      </c>
      <c r="K42" s="67">
        <f>J42*(1+CENÁRIOS!$I$18)</f>
        <v>-947004.34218749881</v>
      </c>
      <c r="L42" s="67">
        <f>K42*(1+CENÁRIOS!$I$18)</f>
        <v>-1183755.4277343736</v>
      </c>
      <c r="M42" s="68">
        <f>L42*(1+CENÁRIOS!$I$18)</f>
        <v>-1479694.2846679669</v>
      </c>
    </row>
    <row r="43" spans="2:13" outlineLevel="1" x14ac:dyDescent="0.25">
      <c r="B43" s="76" t="s">
        <v>71</v>
      </c>
      <c r="C43" s="91">
        <f>ABS(C42/C33)</f>
        <v>8.1388806044713768E-2</v>
      </c>
      <c r="D43" s="91">
        <f t="shared" ref="D43:M43" si="12">ABS(D42/D33)</f>
        <v>7.4569120685767432E-2</v>
      </c>
      <c r="E43" s="91">
        <f t="shared" si="12"/>
        <v>0.13242243777840459</v>
      </c>
      <c r="F43" s="91">
        <f t="shared" si="12"/>
        <v>0.10528089967626428</v>
      </c>
      <c r="G43" s="91">
        <f t="shared" si="12"/>
        <v>7.5901744022360315E-2</v>
      </c>
      <c r="H43" s="91">
        <f t="shared" si="12"/>
        <v>8.1670994246844597E-2</v>
      </c>
      <c r="I43" s="91">
        <f t="shared" si="12"/>
        <v>9.4112375269499504E-2</v>
      </c>
      <c r="J43" s="91">
        <f t="shared" si="12"/>
        <v>0.1108120474899128</v>
      </c>
      <c r="K43" s="91">
        <f t="shared" si="12"/>
        <v>0.13144257900397224</v>
      </c>
      <c r="L43" s="91">
        <f t="shared" si="12"/>
        <v>0.15634893612127687</v>
      </c>
      <c r="M43" s="92">
        <f t="shared" si="12"/>
        <v>0.18620991699119582</v>
      </c>
    </row>
    <row r="44" spans="2:13" outlineLevel="1" x14ac:dyDescent="0.25">
      <c r="B44" s="76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3"/>
    </row>
    <row r="45" spans="2:13" outlineLevel="1" x14ac:dyDescent="0.25">
      <c r="B45" s="77" t="s">
        <v>10</v>
      </c>
      <c r="C45" s="67">
        <f>C36+C39+C42</f>
        <v>96229.953150000161</v>
      </c>
      <c r="D45" s="67">
        <f>D36+D39+D42</f>
        <v>177244</v>
      </c>
      <c r="E45" s="67">
        <f>E36+E39+E42</f>
        <v>75043.102589999326</v>
      </c>
      <c r="F45" s="67">
        <f>F36+F39+F42</f>
        <v>-72622</v>
      </c>
      <c r="G45" s="67">
        <f>G36+G39+G42</f>
        <v>434048.01917000295</v>
      </c>
      <c r="H45" s="67">
        <f t="shared" ref="H45:M45" si="13">H36+H39+H42</f>
        <v>734583.5043830038</v>
      </c>
      <c r="I45" s="67">
        <f t="shared" si="13"/>
        <v>644797.0567665844</v>
      </c>
      <c r="J45" s="67">
        <f t="shared" si="13"/>
        <v>371208.16854844906</v>
      </c>
      <c r="K45" s="67">
        <f t="shared" si="13"/>
        <v>-21127.993058715598</v>
      </c>
      <c r="L45" s="67">
        <f t="shared" si="13"/>
        <v>-519220.69240079587</v>
      </c>
      <c r="M45" s="68">
        <f t="shared" si="13"/>
        <v>-1130693.393607398</v>
      </c>
    </row>
    <row r="46" spans="2:13" outlineLevel="1" x14ac:dyDescent="0.25">
      <c r="B46" s="88" t="str">
        <f>B45&amp;" (%RL)"</f>
        <v>EBIT (%RL)</v>
      </c>
      <c r="C46" s="89">
        <f>ABS(C45/C33)</f>
        <v>4.8883134725737999E-2</v>
      </c>
      <c r="D46" s="89">
        <f t="shared" ref="D46:M46" si="14">ABS(D45/D33)</f>
        <v>7.790749858135422E-2</v>
      </c>
      <c r="E46" s="89">
        <f t="shared" si="14"/>
        <v>2.9481594629685196E-2</v>
      </c>
      <c r="F46" s="89">
        <f t="shared" si="14"/>
        <v>3.0410471433075983E-2</v>
      </c>
      <c r="G46" s="89">
        <f t="shared" si="14"/>
        <v>8.4933225052843161E-2</v>
      </c>
      <c r="H46" s="89">
        <f t="shared" si="14"/>
        <v>0.12373343881193521</v>
      </c>
      <c r="I46" s="89">
        <f t="shared" si="14"/>
        <v>0.10012391818690106</v>
      </c>
      <c r="J46" s="89">
        <f t="shared" si="14"/>
        <v>5.42953386924519E-2</v>
      </c>
      <c r="K46" s="89">
        <f t="shared" si="14"/>
        <v>2.9325292114296938E-3</v>
      </c>
      <c r="L46" s="89">
        <f t="shared" si="14"/>
        <v>6.8578019552898148E-2</v>
      </c>
      <c r="M46" s="90">
        <f t="shared" si="14"/>
        <v>0.14229042116856741</v>
      </c>
    </row>
    <row r="47" spans="2:13" outlineLevel="1" x14ac:dyDescent="0.25">
      <c r="B47" s="76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3"/>
    </row>
    <row r="48" spans="2:13" outlineLevel="1" x14ac:dyDescent="0.25">
      <c r="B48" s="76" t="s">
        <v>9</v>
      </c>
      <c r="C48" s="64">
        <f>DRE!B22</f>
        <v>-79589.589230000041</v>
      </c>
      <c r="D48" s="64">
        <f>DRE!C22</f>
        <v>-80766</v>
      </c>
      <c r="E48" s="64">
        <f>DRE!D22</f>
        <v>-204289</v>
      </c>
      <c r="F48" s="64">
        <f>DRE!E22</f>
        <v>-237023</v>
      </c>
      <c r="G48" s="64">
        <f>DRE!F22</f>
        <v>-301966.84172000003</v>
      </c>
      <c r="H48" s="64">
        <f>G48*(1+CENÁRIOS!$I$19)</f>
        <v>-362360.21006400004</v>
      </c>
      <c r="I48" s="64">
        <f>H48*(1+CENÁRIOS!$I$19)</f>
        <v>-434832.25207680004</v>
      </c>
      <c r="J48" s="64">
        <f>I48*(1+CENÁRIOS!$I$19)</f>
        <v>-521798.70249216002</v>
      </c>
      <c r="K48" s="64">
        <f>J48*(1+CENÁRIOS!$I$19)</f>
        <v>-626158.44299059198</v>
      </c>
      <c r="L48" s="64">
        <f>K48*(1+CENÁRIOS!$I$19)</f>
        <v>-751390.13158871036</v>
      </c>
      <c r="M48" s="58">
        <f>L48*(1+CENÁRIOS!$I$19)</f>
        <v>-901668.15790645243</v>
      </c>
    </row>
    <row r="49" spans="2:13" outlineLevel="1" x14ac:dyDescent="0.25">
      <c r="B49" s="76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3"/>
    </row>
    <row r="50" spans="2:13" ht="0.6" customHeight="1" outlineLevel="1" x14ac:dyDescent="0.25">
      <c r="B50" s="76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3"/>
    </row>
    <row r="51" spans="2:13" outlineLevel="1" x14ac:dyDescent="0.25">
      <c r="B51" s="77" t="s">
        <v>8</v>
      </c>
      <c r="C51" s="61">
        <f>C45-C48</f>
        <v>175819.5423800002</v>
      </c>
      <c r="D51" s="61">
        <f>D45-D48</f>
        <v>258010</v>
      </c>
      <c r="E51" s="61">
        <f>E45-E48</f>
        <v>279332.10258999933</v>
      </c>
      <c r="F51" s="61">
        <f>F45-F48</f>
        <v>164401</v>
      </c>
      <c r="G51" s="61">
        <f>G45-G48</f>
        <v>736014.86089000292</v>
      </c>
      <c r="H51" s="61">
        <f t="shared" ref="H51:M51" si="15">H45-H48</f>
        <v>1096943.7144470038</v>
      </c>
      <c r="I51" s="61">
        <f t="shared" si="15"/>
        <v>1079629.3088433845</v>
      </c>
      <c r="J51" s="61">
        <f t="shared" si="15"/>
        <v>893006.87104060908</v>
      </c>
      <c r="K51" s="61">
        <f t="shared" si="15"/>
        <v>605030.44993187638</v>
      </c>
      <c r="L51" s="61">
        <f t="shared" si="15"/>
        <v>232169.43918791448</v>
      </c>
      <c r="M51" s="62">
        <f t="shared" si="15"/>
        <v>-229025.2357009456</v>
      </c>
    </row>
    <row r="52" spans="2:13" outlineLevel="1" x14ac:dyDescent="0.25">
      <c r="B52" s="88" t="str">
        <f>B51&amp;" (%RL)"</f>
        <v>EBITDA (%RL)</v>
      </c>
      <c r="C52" s="89">
        <f>C51/C33</f>
        <v>8.9313255345579864E-2</v>
      </c>
      <c r="D52" s="89">
        <f t="shared" ref="D52:G52" si="16">D51/D33</f>
        <v>0.11340814757608271</v>
      </c>
      <c r="E52" s="89">
        <f t="shared" si="16"/>
        <v>0.10973901040058361</v>
      </c>
      <c r="F52" s="89">
        <f t="shared" si="16"/>
        <v>6.884293897261333E-2</v>
      </c>
      <c r="G52" s="89">
        <f t="shared" si="16"/>
        <v>0.14402119825761406</v>
      </c>
      <c r="H52" s="89">
        <f t="shared" ref="H52:M52" si="17">H51/H33</f>
        <v>0.18476948796402301</v>
      </c>
      <c r="I52" s="89">
        <f t="shared" si="17"/>
        <v>0.1676445564638277</v>
      </c>
      <c r="J52" s="89">
        <f t="shared" si="17"/>
        <v>0.13061703546943448</v>
      </c>
      <c r="K52" s="89">
        <f t="shared" si="17"/>
        <v>8.3977189092163534E-2</v>
      </c>
      <c r="L52" s="89">
        <f t="shared" si="17"/>
        <v>3.0664649104400352E-2</v>
      </c>
      <c r="M52" s="90">
        <f t="shared" si="17"/>
        <v>-2.8821338685059376E-2</v>
      </c>
    </row>
    <row r="53" spans="2:13" outlineLevel="1" x14ac:dyDescent="0.25">
      <c r="B53" s="88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3"/>
    </row>
    <row r="54" spans="2:13" outlineLevel="1" x14ac:dyDescent="0.25">
      <c r="B54" s="76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3"/>
    </row>
    <row r="55" spans="2:13" outlineLevel="1" x14ac:dyDescent="0.25">
      <c r="B55" s="88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3"/>
    </row>
    <row r="56" spans="2:13" outlineLevel="1" x14ac:dyDescent="0.25">
      <c r="B56" s="76"/>
      <c r="C56" s="72"/>
      <c r="D56" s="72"/>
      <c r="E56" s="72"/>
      <c r="F56" s="72"/>
      <c r="G56" s="72"/>
      <c r="H56" s="65"/>
      <c r="I56" s="65"/>
      <c r="J56" s="65"/>
      <c r="K56" s="65"/>
      <c r="L56" s="65"/>
      <c r="M56" s="66"/>
    </row>
    <row r="57" spans="2:13" outlineLevel="1" x14ac:dyDescent="0.25">
      <c r="B57" s="76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3"/>
    </row>
    <row r="58" spans="2:13" outlineLevel="1" x14ac:dyDescent="0.25">
      <c r="B58" s="88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3"/>
    </row>
    <row r="59" spans="2:13" outlineLevel="1" x14ac:dyDescent="0.25">
      <c r="B59" s="77" t="s">
        <v>11</v>
      </c>
      <c r="C59" s="61">
        <f>SUM(C60:C61)</f>
        <v>-203515</v>
      </c>
      <c r="D59" s="61">
        <f>SUM(D60:D61)</f>
        <v>-91730</v>
      </c>
      <c r="E59" s="61">
        <f t="shared" ref="E59:F59" si="18">SUM(E60:E61)</f>
        <v>-136339</v>
      </c>
      <c r="F59" s="61">
        <f t="shared" si="18"/>
        <v>-124664</v>
      </c>
      <c r="G59" s="61">
        <f>SUM(G60:G61)</f>
        <v>-152927</v>
      </c>
      <c r="H59" s="61">
        <f t="shared" ref="H59:M59" si="19">SUM(H60:H61)</f>
        <v>-151484.20000000001</v>
      </c>
      <c r="I59" s="61">
        <f t="shared" si="19"/>
        <v>-146550.02000000005</v>
      </c>
      <c r="J59" s="61">
        <f t="shared" si="19"/>
        <v>-137105.90200000012</v>
      </c>
      <c r="K59" s="61">
        <f t="shared" si="19"/>
        <v>-121897.54820000019</v>
      </c>
      <c r="L59" s="61">
        <f t="shared" si="19"/>
        <v>-99384.570220000227</v>
      </c>
      <c r="M59" s="62">
        <f t="shared" si="19"/>
        <v>-67679.747882000345</v>
      </c>
    </row>
    <row r="60" spans="2:13" outlineLevel="1" x14ac:dyDescent="0.25">
      <c r="B60" s="93" t="s">
        <v>12</v>
      </c>
      <c r="C60" s="64">
        <v>48534</v>
      </c>
      <c r="D60" s="64">
        <v>60992</v>
      </c>
      <c r="E60" s="64">
        <v>142837</v>
      </c>
      <c r="F60" s="64">
        <v>102327</v>
      </c>
      <c r="G60" s="64">
        <v>167355</v>
      </c>
      <c r="H60" s="64">
        <f>G60*(1+CENÁRIOS!$I$20)</f>
        <v>200826</v>
      </c>
      <c r="I60" s="64">
        <f>H60*(1+CENÁRIOS!$I$20)</f>
        <v>240991.19999999998</v>
      </c>
      <c r="J60" s="64">
        <f>I60*(1+CENÁRIOS!$I$20)</f>
        <v>289189.43999999994</v>
      </c>
      <c r="K60" s="64">
        <f>J60*(1+CENÁRIOS!$I$20)</f>
        <v>347027.32799999992</v>
      </c>
      <c r="L60" s="64">
        <f>K60*(1+CENÁRIOS!$I$20)</f>
        <v>416432.79359999992</v>
      </c>
      <c r="M60" s="58">
        <f>L60*(1+CENÁRIOS!$I$20)</f>
        <v>499719.35231999989</v>
      </c>
    </row>
    <row r="61" spans="2:13" outlineLevel="1" x14ac:dyDescent="0.25">
      <c r="B61" s="93" t="s">
        <v>13</v>
      </c>
      <c r="C61" s="64">
        <v>-252049</v>
      </c>
      <c r="D61" s="64">
        <v>-152722</v>
      </c>
      <c r="E61" s="64">
        <v>-279176</v>
      </c>
      <c r="F61" s="64">
        <v>-226991</v>
      </c>
      <c r="G61" s="64">
        <v>-320282</v>
      </c>
      <c r="H61" s="64">
        <f>G61*(1+CENÁRIOS!$I$21)</f>
        <v>-352310.2</v>
      </c>
      <c r="I61" s="64">
        <f>H61*(1+CENÁRIOS!$I$21)</f>
        <v>-387541.22000000003</v>
      </c>
      <c r="J61" s="64">
        <f>I61*(1+CENÁRIOS!$I$21)</f>
        <v>-426295.34200000006</v>
      </c>
      <c r="K61" s="64">
        <f>J61*(1+CENÁRIOS!$I$21)</f>
        <v>-468924.87620000012</v>
      </c>
      <c r="L61" s="64">
        <f>K61*(1+CENÁRIOS!$I$21)</f>
        <v>-515817.36382000014</v>
      </c>
      <c r="M61" s="58">
        <f>L61*(1+CENÁRIOS!$I$21)</f>
        <v>-567399.10020200023</v>
      </c>
    </row>
    <row r="62" spans="2:13" outlineLevel="1" x14ac:dyDescent="0.25">
      <c r="B62" s="76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3"/>
    </row>
    <row r="63" spans="2:13" outlineLevel="1" x14ac:dyDescent="0.25">
      <c r="B63" s="77" t="s">
        <v>171</v>
      </c>
      <c r="C63" s="61">
        <f>C45+C59</f>
        <v>-107285.04684999984</v>
      </c>
      <c r="D63" s="61">
        <f t="shared" ref="D63:M63" si="20">D45+D59</f>
        <v>85514</v>
      </c>
      <c r="E63" s="61">
        <f t="shared" si="20"/>
        <v>-61295.897410000674</v>
      </c>
      <c r="F63" s="61">
        <f t="shared" si="20"/>
        <v>-197286</v>
      </c>
      <c r="G63" s="61">
        <f t="shared" si="20"/>
        <v>281121.01917000295</v>
      </c>
      <c r="H63" s="61">
        <f t="shared" si="20"/>
        <v>583099.30438300385</v>
      </c>
      <c r="I63" s="61">
        <f t="shared" si="20"/>
        <v>498247.03676658438</v>
      </c>
      <c r="J63" s="61">
        <f t="shared" si="20"/>
        <v>234102.26654844894</v>
      </c>
      <c r="K63" s="61">
        <f t="shared" si="20"/>
        <v>-143025.54125871579</v>
      </c>
      <c r="L63" s="61">
        <f t="shared" si="20"/>
        <v>-618605.2626207961</v>
      </c>
      <c r="M63" s="62">
        <f t="shared" si="20"/>
        <v>-1198373.1414893984</v>
      </c>
    </row>
    <row r="64" spans="2:13" outlineLevel="1" x14ac:dyDescent="0.25">
      <c r="B64" s="76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3"/>
    </row>
    <row r="65" spans="1:13" outlineLevel="1" x14ac:dyDescent="0.25">
      <c r="B65" s="94" t="s">
        <v>14</v>
      </c>
      <c r="C65" s="64">
        <f>DRE!B28</f>
        <v>359446</v>
      </c>
      <c r="D65" s="64">
        <f>DRE!C28</f>
        <v>60531</v>
      </c>
      <c r="E65" s="64">
        <f>DRE!D28</f>
        <v>-97587</v>
      </c>
      <c r="F65" s="64">
        <f>DRE!E28</f>
        <v>88234</v>
      </c>
      <c r="G65" s="64">
        <f>DRE!F28</f>
        <v>287550</v>
      </c>
      <c r="H65" s="64">
        <f>0.34*H63</f>
        <v>198253.76349022132</v>
      </c>
      <c r="I65" s="64">
        <f t="shared" ref="I65:M65" si="21">0.34*I63</f>
        <v>169403.99250063871</v>
      </c>
      <c r="J65" s="64">
        <f t="shared" si="21"/>
        <v>79594.770626472644</v>
      </c>
      <c r="K65" s="64">
        <f t="shared" si="21"/>
        <v>-48628.684027963376</v>
      </c>
      <c r="L65" s="64">
        <f t="shared" si="21"/>
        <v>-210325.78929107069</v>
      </c>
      <c r="M65" s="58">
        <f t="shared" si="21"/>
        <v>-407446.86810639547</v>
      </c>
    </row>
    <row r="66" spans="1:13" outlineLevel="1" x14ac:dyDescent="0.25">
      <c r="B66" s="76" t="s">
        <v>172</v>
      </c>
      <c r="C66" s="64">
        <f>DRE!B43</f>
        <v>0</v>
      </c>
      <c r="D66" s="64">
        <f>DRE!C43</f>
        <v>0</v>
      </c>
      <c r="E66" s="64">
        <f>DRE!D43</f>
        <v>-516679.23199999996</v>
      </c>
      <c r="F66" s="64">
        <f>DRE!E43</f>
        <v>-28939.071</v>
      </c>
      <c r="G66" s="64">
        <f>DRE!F43</f>
        <v>0</v>
      </c>
      <c r="H66" s="64">
        <f>DRE!G43</f>
        <v>0</v>
      </c>
      <c r="I66" s="64">
        <f>DRE!H43</f>
        <v>0</v>
      </c>
      <c r="J66" s="64">
        <f>DRE!I43</f>
        <v>0</v>
      </c>
      <c r="K66" s="64">
        <f>DRE!J43</f>
        <v>0</v>
      </c>
      <c r="L66" s="64">
        <f>DRE!K43</f>
        <v>0</v>
      </c>
      <c r="M66" s="58">
        <f>DRE!L43</f>
        <v>0</v>
      </c>
    </row>
    <row r="67" spans="1:13" outlineLevel="1" x14ac:dyDescent="0.25">
      <c r="B67" s="77" t="s">
        <v>15</v>
      </c>
      <c r="C67" s="61">
        <f>SUM(C63:C66)</f>
        <v>252160.95315000016</v>
      </c>
      <c r="D67" s="61">
        <f t="shared" ref="D67:M67" si="22">SUM(D63:D66)</f>
        <v>146045</v>
      </c>
      <c r="E67" s="61">
        <f t="shared" si="22"/>
        <v>-675562.12941000063</v>
      </c>
      <c r="F67" s="61">
        <f t="shared" si="22"/>
        <v>-137991.071</v>
      </c>
      <c r="G67" s="61">
        <f t="shared" si="22"/>
        <v>568671.01917000301</v>
      </c>
      <c r="H67" s="61">
        <f t="shared" si="22"/>
        <v>781353.0678732252</v>
      </c>
      <c r="I67" s="61">
        <f t="shared" si="22"/>
        <v>667651.02926722309</v>
      </c>
      <c r="J67" s="61">
        <f t="shared" si="22"/>
        <v>313697.0371749216</v>
      </c>
      <c r="K67" s="61">
        <f t="shared" si="22"/>
        <v>-191654.22528667917</v>
      </c>
      <c r="L67" s="61">
        <f t="shared" si="22"/>
        <v>-828931.05191186676</v>
      </c>
      <c r="M67" s="62">
        <f t="shared" si="22"/>
        <v>-1605820.0095957939</v>
      </c>
    </row>
    <row r="68" spans="1:13" outlineLevel="1" x14ac:dyDescent="0.25">
      <c r="B68" s="88" t="s">
        <v>16</v>
      </c>
      <c r="C68" s="89">
        <f>C67/C33</f>
        <v>0.12809335806480068</v>
      </c>
      <c r="D68" s="89">
        <f t="shared" ref="D68:M68" si="23">D67/D33</f>
        <v>6.4193996018561295E-2</v>
      </c>
      <c r="E68" s="89">
        <f t="shared" si="23"/>
        <v>-0.26540279065016664</v>
      </c>
      <c r="F68" s="89">
        <f t="shared" si="23"/>
        <v>-5.7783777955234775E-2</v>
      </c>
      <c r="G68" s="89">
        <f t="shared" si="23"/>
        <v>0.11127585317531037</v>
      </c>
      <c r="H68" s="89">
        <f t="shared" si="23"/>
        <v>0.13161131639542226</v>
      </c>
      <c r="I68" s="89">
        <f t="shared" si="23"/>
        <v>0.10367267705434106</v>
      </c>
      <c r="J68" s="89">
        <f t="shared" si="23"/>
        <v>4.5883383835094771E-2</v>
      </c>
      <c r="K68" s="89">
        <f t="shared" si="23"/>
        <v>-2.6601277867954815E-2</v>
      </c>
      <c r="L68" s="89">
        <f t="shared" si="23"/>
        <v>-0.10948417641671264</v>
      </c>
      <c r="M68" s="90">
        <f t="shared" si="23"/>
        <v>-0.20208202044703577</v>
      </c>
    </row>
    <row r="69" spans="1:13" outlineLevel="1" x14ac:dyDescent="0.25">
      <c r="B69" s="76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3"/>
    </row>
    <row r="70" spans="1:13" outlineLevel="1" x14ac:dyDescent="0.25">
      <c r="B70" s="77" t="s">
        <v>17</v>
      </c>
      <c r="C70" s="61">
        <f>BALANÇO!B24</f>
        <v>0</v>
      </c>
      <c r="D70" s="61">
        <f>BALANÇO!C24</f>
        <v>0</v>
      </c>
      <c r="E70" s="61">
        <f>BALANÇO!D24</f>
        <v>0</v>
      </c>
      <c r="F70" s="61">
        <f>BALANÇO!E24</f>
        <v>0</v>
      </c>
      <c r="G70" s="61">
        <f>BALANÇO!F24</f>
        <v>28637</v>
      </c>
      <c r="H70" s="61">
        <f>G70</f>
        <v>28637</v>
      </c>
      <c r="I70" s="61">
        <f t="shared" ref="I70:M70" si="24">H70</f>
        <v>28637</v>
      </c>
      <c r="J70" s="61">
        <f t="shared" si="24"/>
        <v>28637</v>
      </c>
      <c r="K70" s="61">
        <f t="shared" si="24"/>
        <v>28637</v>
      </c>
      <c r="L70" s="61">
        <f t="shared" si="24"/>
        <v>28637</v>
      </c>
      <c r="M70" s="62">
        <f t="shared" si="24"/>
        <v>28637</v>
      </c>
    </row>
    <row r="71" spans="1:13" outlineLevel="1" x14ac:dyDescent="0.25">
      <c r="B71" s="95" t="s">
        <v>18</v>
      </c>
      <c r="C71" s="89">
        <f t="shared" ref="C71:F71" si="25">C70/C67</f>
        <v>0</v>
      </c>
      <c r="D71" s="89">
        <f t="shared" si="25"/>
        <v>0</v>
      </c>
      <c r="E71" s="89">
        <f t="shared" si="25"/>
        <v>0</v>
      </c>
      <c r="F71" s="89">
        <f t="shared" si="25"/>
        <v>0</v>
      </c>
      <c r="G71" s="89">
        <f>G70/G67</f>
        <v>5.0357762281954849E-2</v>
      </c>
      <c r="H71" s="89">
        <f t="shared" ref="H71:M71" si="26">H70/H67</f>
        <v>3.6650524810694626E-2</v>
      </c>
      <c r="I71" s="89">
        <f t="shared" si="26"/>
        <v>4.2892167831195274E-2</v>
      </c>
      <c r="J71" s="89">
        <f t="shared" si="26"/>
        <v>9.128871683933576E-2</v>
      </c>
      <c r="K71" s="89">
        <f t="shared" si="26"/>
        <v>-0.14942013387476513</v>
      </c>
      <c r="L71" s="89">
        <f t="shared" si="26"/>
        <v>-3.4546902222990596E-2</v>
      </c>
      <c r="M71" s="90">
        <f t="shared" si="26"/>
        <v>-1.7833256422809373E-2</v>
      </c>
    </row>
    <row r="72" spans="1:13" outlineLevel="1" x14ac:dyDescent="0.25">
      <c r="B72" s="76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3"/>
    </row>
    <row r="73" spans="1:13" outlineLevel="1" x14ac:dyDescent="0.25">
      <c r="B73" s="77" t="s">
        <v>19</v>
      </c>
      <c r="C73" s="61">
        <f>C67-C70</f>
        <v>252160.95315000016</v>
      </c>
      <c r="D73" s="61">
        <f t="shared" ref="D73:M73" si="27">D67-D70</f>
        <v>146045</v>
      </c>
      <c r="E73" s="61">
        <f t="shared" si="27"/>
        <v>-675562.12941000063</v>
      </c>
      <c r="F73" s="61">
        <f t="shared" si="27"/>
        <v>-137991.071</v>
      </c>
      <c r="G73" s="61">
        <f t="shared" si="27"/>
        <v>540034.01917000301</v>
      </c>
      <c r="H73" s="61">
        <f t="shared" si="27"/>
        <v>752716.0678732252</v>
      </c>
      <c r="I73" s="61">
        <f t="shared" si="27"/>
        <v>639014.02926722309</v>
      </c>
      <c r="J73" s="61">
        <f t="shared" si="27"/>
        <v>285060.0371749216</v>
      </c>
      <c r="K73" s="61">
        <f t="shared" si="27"/>
        <v>-220291.22528667917</v>
      </c>
      <c r="L73" s="61">
        <f t="shared" si="27"/>
        <v>-857568.05191186676</v>
      </c>
      <c r="M73" s="62">
        <f t="shared" si="27"/>
        <v>-1634457.0095957939</v>
      </c>
    </row>
    <row r="74" spans="1:13" outlineLevel="1" x14ac:dyDescent="0.25">
      <c r="B74" s="77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2"/>
    </row>
    <row r="75" spans="1:13" ht="13.8" outlineLevel="1" thickBot="1" x14ac:dyDescent="0.3">
      <c r="B75" s="77"/>
      <c r="C75" s="72"/>
      <c r="D75" s="72"/>
      <c r="E75" s="152"/>
      <c r="F75" s="72"/>
      <c r="G75" s="72"/>
      <c r="H75" s="72"/>
      <c r="I75" s="72"/>
      <c r="J75" s="72"/>
      <c r="K75" s="72"/>
      <c r="L75" s="72"/>
      <c r="M75" s="73"/>
    </row>
    <row r="76" spans="1:13" ht="13.8" thickBot="1" x14ac:dyDescent="0.3">
      <c r="A76" s="15" t="s">
        <v>1</v>
      </c>
      <c r="B76" s="41" t="s">
        <v>20</v>
      </c>
      <c r="C76" s="42">
        <v>2017</v>
      </c>
      <c r="D76" s="42">
        <v>2018</v>
      </c>
      <c r="E76" s="42">
        <v>2019</v>
      </c>
      <c r="F76" s="42">
        <v>2020</v>
      </c>
      <c r="G76" s="42">
        <v>2021</v>
      </c>
      <c r="H76" s="42">
        <v>2022</v>
      </c>
      <c r="I76" s="42">
        <v>2023</v>
      </c>
      <c r="J76" s="42">
        <v>2024</v>
      </c>
      <c r="K76" s="42">
        <v>2025</v>
      </c>
      <c r="L76" s="42">
        <v>2026</v>
      </c>
      <c r="M76" s="43">
        <v>2027</v>
      </c>
    </row>
    <row r="77" spans="1:13" outlineLevel="1" x14ac:dyDescent="0.25">
      <c r="B77" s="84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96"/>
    </row>
    <row r="78" spans="1:13" outlineLevel="1" x14ac:dyDescent="0.25">
      <c r="B78" s="76" t="s">
        <v>21</v>
      </c>
      <c r="C78" s="72">
        <v>360</v>
      </c>
      <c r="D78" s="72">
        <v>360</v>
      </c>
      <c r="E78" s="72">
        <v>360</v>
      </c>
      <c r="F78" s="72">
        <v>360</v>
      </c>
      <c r="G78" s="72">
        <v>360</v>
      </c>
      <c r="H78" s="72">
        <v>360</v>
      </c>
      <c r="I78" s="72">
        <v>360</v>
      </c>
      <c r="J78" s="72">
        <v>360</v>
      </c>
      <c r="K78" s="72">
        <v>365</v>
      </c>
      <c r="L78" s="72">
        <v>365</v>
      </c>
      <c r="M78" s="73">
        <v>365</v>
      </c>
    </row>
    <row r="79" spans="1:13" outlineLevel="1" x14ac:dyDescent="0.25">
      <c r="B79" s="76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3"/>
    </row>
    <row r="80" spans="1:13" outlineLevel="1" x14ac:dyDescent="0.25">
      <c r="B80" s="76" t="s">
        <v>22</v>
      </c>
      <c r="C80" s="72">
        <v>10</v>
      </c>
      <c r="D80" s="72">
        <v>10</v>
      </c>
      <c r="E80" s="72">
        <v>10</v>
      </c>
      <c r="F80" s="72">
        <v>10</v>
      </c>
      <c r="G80" s="72">
        <v>10</v>
      </c>
      <c r="H80" s="72">
        <v>10</v>
      </c>
      <c r="I80" s="72">
        <v>10</v>
      </c>
      <c r="J80" s="72">
        <v>10</v>
      </c>
      <c r="K80" s="72">
        <v>10</v>
      </c>
      <c r="L80" s="72">
        <v>10</v>
      </c>
      <c r="M80" s="73">
        <v>10</v>
      </c>
    </row>
    <row r="81" spans="1:16" outlineLevel="1" x14ac:dyDescent="0.25">
      <c r="B81" s="76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3"/>
    </row>
    <row r="82" spans="1:16" outlineLevel="1" x14ac:dyDescent="0.25">
      <c r="B82" s="76" t="s">
        <v>187</v>
      </c>
      <c r="C82" s="65">
        <f>(C87/-C35)*C78</f>
        <v>114.05783020498669</v>
      </c>
      <c r="D82" s="65">
        <f t="shared" ref="D82:F82" si="28">(D87/-D35)*D78</f>
        <v>104.01271995058337</v>
      </c>
      <c r="E82" s="65">
        <f t="shared" si="28"/>
        <v>119.89014695254154</v>
      </c>
      <c r="F82" s="65">
        <f t="shared" si="28"/>
        <v>241.09500910427457</v>
      </c>
      <c r="G82" s="65">
        <f>(G87/-G35)*G78</f>
        <v>136.01349257353877</v>
      </c>
      <c r="H82" s="65">
        <f t="shared" ref="H82:M82" si="29">(H87/-H35)*H78</f>
        <v>131.06754738904647</v>
      </c>
      <c r="I82" s="65">
        <f t="shared" si="29"/>
        <v>126.30145475671749</v>
      </c>
      <c r="J82" s="65">
        <f t="shared" si="29"/>
        <v>121.70867458374593</v>
      </c>
      <c r="K82" s="65">
        <f t="shared" si="29"/>
        <v>118.91183382942249</v>
      </c>
      <c r="L82" s="65">
        <f t="shared" si="29"/>
        <v>114.58776714471621</v>
      </c>
      <c r="M82" s="66">
        <f t="shared" si="29"/>
        <v>110.4209392485447</v>
      </c>
    </row>
    <row r="83" spans="1:16" outlineLevel="1" x14ac:dyDescent="0.25">
      <c r="B83" s="76" t="s">
        <v>188</v>
      </c>
      <c r="C83" s="97">
        <f>(C88/-C35)*C78</f>
        <v>189.68521818951282</v>
      </c>
      <c r="D83" s="97">
        <f t="shared" ref="D83:G83" si="30">(D88/-D35)*D78</f>
        <v>169.09183141751873</v>
      </c>
      <c r="E83" s="97">
        <f t="shared" si="30"/>
        <v>184.92520263286733</v>
      </c>
      <c r="F83" s="97">
        <f t="shared" si="30"/>
        <v>175.12648292697784</v>
      </c>
      <c r="G83" s="97">
        <f t="shared" si="30"/>
        <v>119.30540648987568</v>
      </c>
      <c r="H83" s="97">
        <f t="shared" ref="H83:M83" si="31">(H88/-H35)*H78</f>
        <v>119.30540648987568</v>
      </c>
      <c r="I83" s="97">
        <f t="shared" si="31"/>
        <v>119.30540648987568</v>
      </c>
      <c r="J83" s="97">
        <f t="shared" si="31"/>
        <v>119.30540648987568</v>
      </c>
      <c r="K83" s="97">
        <f t="shared" si="31"/>
        <v>120.96242602445729</v>
      </c>
      <c r="L83" s="97">
        <f t="shared" si="31"/>
        <v>120.9624260244573</v>
      </c>
      <c r="M83" s="98">
        <f t="shared" si="31"/>
        <v>120.96242602445729</v>
      </c>
    </row>
    <row r="84" spans="1:16" outlineLevel="1" x14ac:dyDescent="0.25">
      <c r="B84" s="76" t="s">
        <v>189</v>
      </c>
      <c r="C84" s="99">
        <f>(C89/C33)*C78</f>
        <v>19.645208247183508</v>
      </c>
      <c r="D84" s="99">
        <f t="shared" ref="D84:G84" si="32">(D89/D33)*D78</f>
        <v>14.517526374064474</v>
      </c>
      <c r="E84" s="99">
        <f t="shared" si="32"/>
        <v>83.030095395554284</v>
      </c>
      <c r="F84" s="99">
        <f t="shared" si="32"/>
        <v>144.86446105393543</v>
      </c>
      <c r="G84" s="99">
        <f t="shared" si="32"/>
        <v>98.832903952715043</v>
      </c>
      <c r="H84" s="99">
        <f t="shared" ref="H84:M84" si="33">(H89/H33)*H78</f>
        <v>93.583722455890324</v>
      </c>
      <c r="I84" s="99">
        <f t="shared" si="33"/>
        <v>94.899053324046292</v>
      </c>
      <c r="J84" s="99">
        <f t="shared" si="33"/>
        <v>98.329718793613893</v>
      </c>
      <c r="K84" s="99">
        <f t="shared" si="33"/>
        <v>104.06553594687273</v>
      </c>
      <c r="L84" s="99">
        <f t="shared" si="33"/>
        <v>108.93023889838059</v>
      </c>
      <c r="M84" s="100">
        <f t="shared" si="33"/>
        <v>114.16658339191375</v>
      </c>
    </row>
    <row r="85" spans="1:16" outlineLevel="1" x14ac:dyDescent="0.25">
      <c r="B85" s="77" t="s">
        <v>186</v>
      </c>
      <c r="C85" s="97">
        <f>C82+C83-C84</f>
        <v>284.09784014731599</v>
      </c>
      <c r="D85" s="97">
        <f t="shared" ref="D85:G85" si="34">D82+D83-D84</f>
        <v>258.58702499403762</v>
      </c>
      <c r="E85" s="97">
        <f t="shared" si="34"/>
        <v>221.78525418985458</v>
      </c>
      <c r="F85" s="97">
        <f t="shared" si="34"/>
        <v>271.35703097731698</v>
      </c>
      <c r="G85" s="97">
        <f t="shared" si="34"/>
        <v>156.48599511069941</v>
      </c>
      <c r="H85" s="97">
        <f t="shared" ref="H85:M85" si="35">H82+H83-H84</f>
        <v>156.78923142303182</v>
      </c>
      <c r="I85" s="97">
        <f t="shared" si="35"/>
        <v>150.70780792254686</v>
      </c>
      <c r="J85" s="97">
        <f t="shared" si="35"/>
        <v>142.68436228000772</v>
      </c>
      <c r="K85" s="97">
        <f t="shared" si="35"/>
        <v>135.80872390700705</v>
      </c>
      <c r="L85" s="97">
        <f t="shared" si="35"/>
        <v>126.6199542707929</v>
      </c>
      <c r="M85" s="98">
        <f t="shared" si="35"/>
        <v>117.21678188108822</v>
      </c>
    </row>
    <row r="86" spans="1:16" outlineLevel="1" x14ac:dyDescent="0.25">
      <c r="B86" s="76"/>
      <c r="C86" s="101"/>
      <c r="D86" s="101"/>
      <c r="E86" s="101"/>
      <c r="F86" s="101"/>
      <c r="G86" s="101"/>
      <c r="H86" s="72"/>
      <c r="I86" s="72"/>
      <c r="J86" s="72"/>
      <c r="K86" s="72"/>
      <c r="L86" s="72"/>
      <c r="M86" s="73"/>
      <c r="O86" s="17"/>
      <c r="P86" s="17">
        <v>2016</v>
      </c>
    </row>
    <row r="87" spans="1:16" ht="14.4" outlineLevel="1" x14ac:dyDescent="0.3">
      <c r="B87" s="76" t="s">
        <v>23</v>
      </c>
      <c r="C87" s="64">
        <f>BALANÇO!B5</f>
        <v>318919</v>
      </c>
      <c r="D87" s="64">
        <f>BALANÇO!C5</f>
        <v>334899</v>
      </c>
      <c r="E87" s="64">
        <f>BALANÇO!D5</f>
        <v>428544</v>
      </c>
      <c r="F87" s="64">
        <f>BALANÇO!E5</f>
        <v>901475</v>
      </c>
      <c r="G87" s="64">
        <f>BALANÇO!F5</f>
        <v>1042336</v>
      </c>
      <c r="H87" s="64">
        <f>G87*(1+CENÁRIOS!$I$23)</f>
        <v>1104876.1600000001</v>
      </c>
      <c r="I87" s="64">
        <f>H87*(1+CENÁRIOS!$I$23)</f>
        <v>1171168.7296000002</v>
      </c>
      <c r="J87" s="64">
        <f>I87*(1+CENÁRIOS!$I$23)</f>
        <v>1241438.8533760002</v>
      </c>
      <c r="K87" s="64">
        <f>J87*(1+CENÁRIOS!$I$23)</f>
        <v>1315925.1845785603</v>
      </c>
      <c r="L87" s="64">
        <f>K87*(1+CENÁRIOS!$I$23)</f>
        <v>1394880.695653274</v>
      </c>
      <c r="M87" s="58">
        <f>L87*(1+CENÁRIOS!$I$23)</f>
        <v>1478573.5373924705</v>
      </c>
      <c r="O87" s="17" t="s">
        <v>23</v>
      </c>
      <c r="P87" s="18">
        <v>290539</v>
      </c>
    </row>
    <row r="88" spans="1:16" ht="14.4" outlineLevel="1" x14ac:dyDescent="0.3">
      <c r="B88" s="76" t="s">
        <v>24</v>
      </c>
      <c r="C88" s="64">
        <f>BALANÇO!B26</f>
        <v>530382</v>
      </c>
      <c r="D88" s="64">
        <f>BALANÇO!C26</f>
        <v>544440</v>
      </c>
      <c r="E88" s="64">
        <f>BALANÇO!D26</f>
        <v>661010</v>
      </c>
      <c r="F88" s="64">
        <f>BALANÇO!E26</f>
        <v>654813</v>
      </c>
      <c r="G88" s="64">
        <f>BALANÇO!F26</f>
        <v>914294</v>
      </c>
      <c r="H88" s="64">
        <f>G88*(1+CENÁRIOS!$I$24)</f>
        <v>1005723.4</v>
      </c>
      <c r="I88" s="64">
        <f>H88*(1+CENÁRIOS!$I$24)</f>
        <v>1106295.7400000002</v>
      </c>
      <c r="J88" s="64">
        <f>I88*(1+CENÁRIOS!$I$24)</f>
        <v>1216925.3140000002</v>
      </c>
      <c r="K88" s="64">
        <f>J88*(1+CENÁRIOS!$I$24)</f>
        <v>1338617.8454000005</v>
      </c>
      <c r="L88" s="64">
        <f>K88*(1+CENÁRIOS!$I$24)</f>
        <v>1472479.6299400006</v>
      </c>
      <c r="M88" s="58">
        <f>L88*(1+CENÁRIOS!$I$24)</f>
        <v>1619727.5929340008</v>
      </c>
      <c r="O88" s="17" t="s">
        <v>24</v>
      </c>
      <c r="P88" s="18">
        <v>462932</v>
      </c>
    </row>
    <row r="89" spans="1:16" ht="14.4" outlineLevel="1" x14ac:dyDescent="0.3">
      <c r="B89" s="76" t="s">
        <v>25</v>
      </c>
      <c r="C89" s="64">
        <f>BALANÇO!B4+BALANÇO!B13</f>
        <v>107425</v>
      </c>
      <c r="D89" s="64">
        <f>BALANÇO!C4+BALANÇO!C13</f>
        <v>91745</v>
      </c>
      <c r="E89" s="64">
        <f>BALANÇO!D4+BALANÇO!D13</f>
        <v>587074</v>
      </c>
      <c r="F89" s="64">
        <f>BALANÇO!E4+BALANÇO!E13</f>
        <v>960958</v>
      </c>
      <c r="G89" s="64">
        <f>BALANÇO!F4+BALANÇO!F13</f>
        <v>1403005</v>
      </c>
      <c r="H89" s="64">
        <f>G89*(1+CENÁRIOS!$I$25)</f>
        <v>1543305.5000000002</v>
      </c>
      <c r="I89" s="64">
        <f>H89*(1+CENÁRIOS!$I$25)</f>
        <v>1697636.0500000003</v>
      </c>
      <c r="J89" s="64">
        <f>I89*(1+CENÁRIOS!$I$25)</f>
        <v>1867399.6550000005</v>
      </c>
      <c r="K89" s="64">
        <f>J89*(1+CENÁRIOS!$I$25)</f>
        <v>2054139.6205000007</v>
      </c>
      <c r="L89" s="64">
        <f>K89*(1+CENÁRIOS!$I$25)</f>
        <v>2259553.5825500009</v>
      </c>
      <c r="M89" s="58">
        <f>L89*(1+CENÁRIOS!$I$25)</f>
        <v>2485508.9408050012</v>
      </c>
      <c r="O89" s="17" t="s">
        <v>25</v>
      </c>
      <c r="P89" s="18">
        <v>73602</v>
      </c>
    </row>
    <row r="90" spans="1:16" outlineLevel="1" x14ac:dyDescent="0.25">
      <c r="B90" s="77" t="s">
        <v>26</v>
      </c>
      <c r="C90" s="67">
        <f>C87+C88-C89</f>
        <v>741876</v>
      </c>
      <c r="D90" s="67">
        <f t="shared" ref="D90:M90" si="36">D87+D88-D89</f>
        <v>787594</v>
      </c>
      <c r="E90" s="67">
        <f t="shared" si="36"/>
        <v>502480</v>
      </c>
      <c r="F90" s="67">
        <f t="shared" si="36"/>
        <v>595330</v>
      </c>
      <c r="G90" s="67">
        <f t="shared" si="36"/>
        <v>553625</v>
      </c>
      <c r="H90" s="67">
        <f t="shared" si="36"/>
        <v>567294.05999999982</v>
      </c>
      <c r="I90" s="67">
        <f t="shared" si="36"/>
        <v>579828.41960000014</v>
      </c>
      <c r="J90" s="67">
        <f t="shared" si="36"/>
        <v>590964.51237599994</v>
      </c>
      <c r="K90" s="67">
        <f t="shared" si="36"/>
        <v>600403.40947856009</v>
      </c>
      <c r="L90" s="67">
        <f t="shared" si="36"/>
        <v>607806.74304327369</v>
      </c>
      <c r="M90" s="68">
        <f t="shared" si="36"/>
        <v>612792.18952147011</v>
      </c>
      <c r="O90" s="17" t="s">
        <v>200</v>
      </c>
      <c r="P90" s="19">
        <f>P87+P88-P89</f>
        <v>679869</v>
      </c>
    </row>
    <row r="91" spans="1:16" outlineLevel="1" x14ac:dyDescent="0.25">
      <c r="B91" s="77" t="s">
        <v>27</v>
      </c>
      <c r="C91" s="67">
        <f>-(C90-P90)</f>
        <v>-62007</v>
      </c>
      <c r="D91" s="67">
        <f>-(D90-C90)</f>
        <v>-45718</v>
      </c>
      <c r="E91" s="67">
        <f>-(E90-D90)</f>
        <v>285114</v>
      </c>
      <c r="F91" s="67">
        <f t="shared" ref="F91:G91" si="37">-(F90-E90)</f>
        <v>-92850</v>
      </c>
      <c r="G91" s="67">
        <f t="shared" si="37"/>
        <v>41705</v>
      </c>
      <c r="H91" s="67">
        <f t="shared" ref="H91" si="38">-(H90-G90)</f>
        <v>-13669.059999999823</v>
      </c>
      <c r="I91" s="67">
        <f t="shared" ref="I91" si="39">-(I90-H90)</f>
        <v>-12534.359600000316</v>
      </c>
      <c r="J91" s="67">
        <f t="shared" ref="J91" si="40">-(J90-I90)</f>
        <v>-11136.092775999801</v>
      </c>
      <c r="K91" s="67">
        <f t="shared" ref="K91" si="41">-(K90-J90)</f>
        <v>-9438.8971025601495</v>
      </c>
      <c r="L91" s="67">
        <f t="shared" ref="L91" si="42">-(L90-K90)</f>
        <v>-7403.3335647135973</v>
      </c>
      <c r="M91" s="68">
        <f t="shared" ref="M91" si="43">-(M90-L90)</f>
        <v>-4985.4464781964198</v>
      </c>
    </row>
    <row r="92" spans="1:16" outlineLevel="1" x14ac:dyDescent="0.25">
      <c r="B92" s="7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8"/>
    </row>
    <row r="93" spans="1:16" ht="13.8" outlineLevel="1" thickBot="1" x14ac:dyDescent="0.3">
      <c r="B93" s="76"/>
      <c r="C93" s="72"/>
      <c r="D93" s="72"/>
      <c r="E93" s="152"/>
      <c r="F93" s="72"/>
      <c r="G93" s="72"/>
      <c r="H93" s="72"/>
      <c r="I93" s="72"/>
      <c r="J93" s="72"/>
      <c r="K93" s="72"/>
      <c r="L93" s="72"/>
      <c r="M93" s="73"/>
    </row>
    <row r="94" spans="1:16" ht="13.8" thickBot="1" x14ac:dyDescent="0.3">
      <c r="A94" s="15" t="s">
        <v>1</v>
      </c>
      <c r="B94" s="41" t="s">
        <v>28</v>
      </c>
      <c r="C94" s="42">
        <v>2017</v>
      </c>
      <c r="D94" s="42">
        <v>2018</v>
      </c>
      <c r="E94" s="42">
        <v>2019</v>
      </c>
      <c r="F94" s="42">
        <v>2020</v>
      </c>
      <c r="G94" s="42">
        <v>2021</v>
      </c>
      <c r="H94" s="42">
        <v>2022</v>
      </c>
      <c r="I94" s="42">
        <v>2023</v>
      </c>
      <c r="J94" s="42">
        <v>2024</v>
      </c>
      <c r="K94" s="42">
        <v>2025</v>
      </c>
      <c r="L94" s="42">
        <v>2026</v>
      </c>
      <c r="M94" s="43">
        <v>2027</v>
      </c>
    </row>
    <row r="95" spans="1:16" outlineLevel="1" x14ac:dyDescent="0.25">
      <c r="B95" s="84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96"/>
    </row>
    <row r="96" spans="1:16" outlineLevel="1" x14ac:dyDescent="0.25">
      <c r="B96" s="76" t="s">
        <v>29</v>
      </c>
      <c r="C96" s="72">
        <v>90</v>
      </c>
      <c r="D96" s="72">
        <v>90</v>
      </c>
      <c r="E96" s="72">
        <v>90</v>
      </c>
      <c r="F96" s="72">
        <v>90</v>
      </c>
      <c r="G96" s="72">
        <v>90</v>
      </c>
      <c r="H96" s="72">
        <v>90</v>
      </c>
      <c r="I96" s="72">
        <v>90</v>
      </c>
      <c r="J96" s="72">
        <v>90</v>
      </c>
      <c r="K96" s="72">
        <v>90</v>
      </c>
      <c r="L96" s="72">
        <v>90</v>
      </c>
      <c r="M96" s="73">
        <v>90</v>
      </c>
    </row>
    <row r="97" spans="1:13" outlineLevel="1" x14ac:dyDescent="0.25">
      <c r="B97" s="76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3"/>
    </row>
    <row r="98" spans="1:13" outlineLevel="1" x14ac:dyDescent="0.25">
      <c r="B98" s="76" t="s">
        <v>30</v>
      </c>
      <c r="C98" s="65">
        <f>(C84/C78)*C31</f>
        <v>135250.22041342751</v>
      </c>
      <c r="D98" s="65">
        <f t="shared" ref="D98:F98" si="44">(D84/D78)*D31</f>
        <v>114720.71952482947</v>
      </c>
      <c r="E98" s="65">
        <f t="shared" si="44"/>
        <v>736446.04051194713</v>
      </c>
      <c r="F98" s="65">
        <f t="shared" si="44"/>
        <v>1227547.2388621888</v>
      </c>
      <c r="G98" s="65">
        <f t="shared" ref="G98:M98" si="45">(G84/G78)*G31</f>
        <v>1754172.3090720566</v>
      </c>
      <c r="H98" s="65">
        <f t="shared" si="45"/>
        <v>1909073.3459377724</v>
      </c>
      <c r="I98" s="65">
        <f t="shared" si="45"/>
        <v>2105635.6843963978</v>
      </c>
      <c r="J98" s="65">
        <f t="shared" si="45"/>
        <v>2332423.6642408017</v>
      </c>
      <c r="K98" s="65">
        <f t="shared" si="45"/>
        <v>2588088.6797520272</v>
      </c>
      <c r="L98" s="65">
        <f t="shared" si="45"/>
        <v>2874353.8414458991</v>
      </c>
      <c r="M98" s="66">
        <f t="shared" si="45"/>
        <v>3194298.4404892563</v>
      </c>
    </row>
    <row r="99" spans="1:13" outlineLevel="1" x14ac:dyDescent="0.25">
      <c r="B99" s="76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3"/>
    </row>
    <row r="100" spans="1:13" outlineLevel="1" x14ac:dyDescent="0.25">
      <c r="B100" s="77" t="s">
        <v>31</v>
      </c>
      <c r="C100" s="67">
        <f>C89-C98</f>
        <v>-27825.220413427509</v>
      </c>
      <c r="D100" s="67">
        <f t="shared" ref="D100:M100" si="46">D89-D98</f>
        <v>-22975.719524829474</v>
      </c>
      <c r="E100" s="67">
        <f t="shared" si="46"/>
        <v>-149372.04051194713</v>
      </c>
      <c r="F100" s="67">
        <f t="shared" si="46"/>
        <v>-266589.23886218877</v>
      </c>
      <c r="G100" s="67">
        <f t="shared" si="46"/>
        <v>-351167.30907205655</v>
      </c>
      <c r="H100" s="67">
        <f t="shared" si="46"/>
        <v>-365767.84593777219</v>
      </c>
      <c r="I100" s="67">
        <f t="shared" si="46"/>
        <v>-407999.63439639751</v>
      </c>
      <c r="J100" s="67">
        <f t="shared" si="46"/>
        <v>-465024.00924080121</v>
      </c>
      <c r="K100" s="67">
        <f t="shared" si="46"/>
        <v>-533949.05925202649</v>
      </c>
      <c r="L100" s="67">
        <f t="shared" si="46"/>
        <v>-614800.25889589824</v>
      </c>
      <c r="M100" s="68">
        <f t="shared" si="46"/>
        <v>-708789.4996842551</v>
      </c>
    </row>
    <row r="101" spans="1:13" outlineLevel="1" x14ac:dyDescent="0.25">
      <c r="B101" s="7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8"/>
    </row>
    <row r="102" spans="1:13" ht="13.8" outlineLevel="1" thickBot="1" x14ac:dyDescent="0.3">
      <c r="B102" s="76"/>
      <c r="C102" s="72"/>
      <c r="D102" s="72"/>
      <c r="E102" s="152"/>
      <c r="F102" s="72"/>
      <c r="G102" s="72"/>
      <c r="H102" s="72"/>
      <c r="I102" s="72"/>
      <c r="J102" s="72"/>
      <c r="K102" s="72"/>
      <c r="L102" s="72"/>
      <c r="M102" s="73"/>
    </row>
    <row r="103" spans="1:13" ht="13.8" thickBot="1" x14ac:dyDescent="0.3">
      <c r="A103" s="15" t="s">
        <v>1</v>
      </c>
      <c r="B103" s="41" t="s">
        <v>32</v>
      </c>
      <c r="C103" s="42">
        <v>2017</v>
      </c>
      <c r="D103" s="42">
        <v>2018</v>
      </c>
      <c r="E103" s="42">
        <v>2019</v>
      </c>
      <c r="F103" s="42">
        <v>2020</v>
      </c>
      <c r="G103" s="42">
        <v>2021</v>
      </c>
      <c r="H103" s="42">
        <v>2022</v>
      </c>
      <c r="I103" s="42">
        <v>2023</v>
      </c>
      <c r="J103" s="42">
        <v>2024</v>
      </c>
      <c r="K103" s="42">
        <v>2025</v>
      </c>
      <c r="L103" s="42">
        <v>2026</v>
      </c>
      <c r="M103" s="43">
        <v>2027</v>
      </c>
    </row>
    <row r="104" spans="1:13" outlineLevel="1" x14ac:dyDescent="0.25">
      <c r="B104" s="84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96"/>
    </row>
    <row r="105" spans="1:13" outlineLevel="1" x14ac:dyDescent="0.25">
      <c r="B105" s="76" t="s">
        <v>33</v>
      </c>
      <c r="C105" s="64">
        <f>BALANÇO!B3</f>
        <v>150066</v>
      </c>
      <c r="D105" s="64">
        <f>BALANÇO!C3</f>
        <v>242818</v>
      </c>
      <c r="E105" s="64">
        <f>BALANÇO!D3</f>
        <v>105308</v>
      </c>
      <c r="F105" s="64">
        <f>BALANÇO!E3</f>
        <v>514295</v>
      </c>
      <c r="G105" s="64">
        <f>BALANÇO!F3</f>
        <v>549347</v>
      </c>
      <c r="H105" s="65">
        <f>G105*(1+CENÁRIOS!$I$29)</f>
        <v>604281.70000000007</v>
      </c>
      <c r="I105" s="65">
        <f>H105*(1+CENÁRIOS!$I$29)</f>
        <v>664709.87000000011</v>
      </c>
      <c r="J105" s="65">
        <f>I105*(1+CENÁRIOS!$I$29)</f>
        <v>731180.85700000019</v>
      </c>
      <c r="K105" s="65">
        <f>J105*(1+CENÁRIOS!$I$29)</f>
        <v>804298.94270000025</v>
      </c>
      <c r="L105" s="65">
        <f>K105*(1+CENÁRIOS!$I$29)</f>
        <v>884728.83697000029</v>
      </c>
      <c r="M105" s="66">
        <f>L105*(1+CENÁRIOS!$I$29)</f>
        <v>973201.72066700039</v>
      </c>
    </row>
    <row r="106" spans="1:13" outlineLevel="1" x14ac:dyDescent="0.25">
      <c r="B106" s="76" t="s">
        <v>23</v>
      </c>
      <c r="C106" s="64">
        <f>BALANÇO!B5</f>
        <v>318919</v>
      </c>
      <c r="D106" s="64">
        <f>BALANÇO!C5</f>
        <v>334899</v>
      </c>
      <c r="E106" s="64">
        <f>BALANÇO!D5</f>
        <v>428544</v>
      </c>
      <c r="F106" s="64">
        <f>BALANÇO!E5</f>
        <v>901475</v>
      </c>
      <c r="G106" s="64">
        <f>BALANÇO!F5</f>
        <v>1042336</v>
      </c>
      <c r="H106" s="102">
        <f>H87</f>
        <v>1104876.1600000001</v>
      </c>
      <c r="I106" s="102">
        <f t="shared" ref="I106:M106" si="47">I87</f>
        <v>1171168.7296000002</v>
      </c>
      <c r="J106" s="102">
        <f t="shared" si="47"/>
        <v>1241438.8533760002</v>
      </c>
      <c r="K106" s="102">
        <f t="shared" si="47"/>
        <v>1315925.1845785603</v>
      </c>
      <c r="L106" s="102">
        <f t="shared" si="47"/>
        <v>1394880.695653274</v>
      </c>
      <c r="M106" s="103">
        <f t="shared" si="47"/>
        <v>1478573.5373924705</v>
      </c>
    </row>
    <row r="107" spans="1:13" outlineLevel="1" x14ac:dyDescent="0.25">
      <c r="B107" s="76" t="s">
        <v>25</v>
      </c>
      <c r="C107" s="64">
        <f>BALANÇO!B4+BALANÇO!B13</f>
        <v>107425</v>
      </c>
      <c r="D107" s="64">
        <f>BALANÇO!C4+BALANÇO!C13</f>
        <v>91745</v>
      </c>
      <c r="E107" s="64">
        <f>BALANÇO!D4+BALANÇO!D13</f>
        <v>587074</v>
      </c>
      <c r="F107" s="64">
        <f>BALANÇO!E4+BALANÇO!E13</f>
        <v>960958</v>
      </c>
      <c r="G107" s="64">
        <f>BALANÇO!F4+BALANÇO!F13</f>
        <v>1403005</v>
      </c>
      <c r="H107" s="102">
        <f>H89</f>
        <v>1543305.5000000002</v>
      </c>
      <c r="I107" s="102">
        <f t="shared" ref="I107:M107" si="48">I89</f>
        <v>1697636.0500000003</v>
      </c>
      <c r="J107" s="102">
        <f t="shared" si="48"/>
        <v>1867399.6550000005</v>
      </c>
      <c r="K107" s="102">
        <f t="shared" si="48"/>
        <v>2054139.6205000007</v>
      </c>
      <c r="L107" s="102">
        <f t="shared" si="48"/>
        <v>2259553.5825500009</v>
      </c>
      <c r="M107" s="103">
        <f t="shared" si="48"/>
        <v>2485508.9408050012</v>
      </c>
    </row>
    <row r="108" spans="1:13" outlineLevel="1" x14ac:dyDescent="0.25">
      <c r="B108" s="76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3"/>
    </row>
    <row r="109" spans="1:13" outlineLevel="1" x14ac:dyDescent="0.25">
      <c r="B109" s="76" t="s">
        <v>34</v>
      </c>
      <c r="C109" s="64">
        <f>BALANÇO!B15</f>
        <v>463430</v>
      </c>
      <c r="D109" s="64">
        <f>BALANÇO!C15</f>
        <v>448019</v>
      </c>
      <c r="E109" s="64">
        <f>BALANÇO!D15</f>
        <v>452439</v>
      </c>
      <c r="F109" s="64">
        <f>BALANÇO!E15</f>
        <v>296355</v>
      </c>
      <c r="G109" s="64">
        <f>BALANÇO!F15</f>
        <v>430112</v>
      </c>
      <c r="H109" s="65">
        <f>G109*(1+CENÁRIOS!$I$30)</f>
        <v>443015.36</v>
      </c>
      <c r="I109" s="65">
        <f>H109*(1+CENÁRIOS!$I$30)</f>
        <v>456305.82079999999</v>
      </c>
      <c r="J109" s="65">
        <f>I109*(1+CENÁRIOS!$I$30)</f>
        <v>469994.99542400002</v>
      </c>
      <c r="K109" s="65">
        <f>J109*(1+CENÁRIOS!$I$30)</f>
        <v>484094.84528672002</v>
      </c>
      <c r="L109" s="65">
        <f>K109*(1+CENÁRIOS!$I$30)</f>
        <v>498617.69064532162</v>
      </c>
      <c r="M109" s="66">
        <f>L109*(1+CENÁRIOS!$I$30)</f>
        <v>513576.22136468126</v>
      </c>
    </row>
    <row r="110" spans="1:13" outlineLevel="1" x14ac:dyDescent="0.25">
      <c r="B110" s="76" t="s">
        <v>35</v>
      </c>
      <c r="C110" s="64">
        <f>DRE!B22</f>
        <v>-79589.589230000041</v>
      </c>
      <c r="D110" s="64">
        <f>DRE!C22</f>
        <v>-80766</v>
      </c>
      <c r="E110" s="64">
        <f>DRE!D22</f>
        <v>-204289</v>
      </c>
      <c r="F110" s="64">
        <f>DRE!E22</f>
        <v>-237023</v>
      </c>
      <c r="G110" s="64">
        <f>DRE!F22</f>
        <v>-301966.84172000003</v>
      </c>
      <c r="H110" s="65">
        <f>H48</f>
        <v>-362360.21006400004</v>
      </c>
      <c r="I110" s="65">
        <f t="shared" ref="I110:M110" si="49">I48</f>
        <v>-434832.25207680004</v>
      </c>
      <c r="J110" s="65">
        <f t="shared" si="49"/>
        <v>-521798.70249216002</v>
      </c>
      <c r="K110" s="65">
        <f t="shared" si="49"/>
        <v>-626158.44299059198</v>
      </c>
      <c r="L110" s="65">
        <f t="shared" si="49"/>
        <v>-751390.13158871036</v>
      </c>
      <c r="M110" s="66">
        <f t="shared" si="49"/>
        <v>-901668.15790645243</v>
      </c>
    </row>
    <row r="111" spans="1:13" outlineLevel="1" x14ac:dyDescent="0.25">
      <c r="B111" s="76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3"/>
    </row>
    <row r="112" spans="1:13" outlineLevel="1" x14ac:dyDescent="0.25">
      <c r="B112" s="77" t="s">
        <v>36</v>
      </c>
      <c r="C112" s="61">
        <f>BALANÇO!B17</f>
        <v>1625360</v>
      </c>
      <c r="D112" s="61">
        <f>BALANÇO!C17</f>
        <v>1798300</v>
      </c>
      <c r="E112" s="61">
        <f>BALANÇO!D17</f>
        <v>3933727</v>
      </c>
      <c r="F112" s="61">
        <f>BALANÇO!E17</f>
        <v>5974397</v>
      </c>
      <c r="G112" s="61">
        <f>BALANÇO!F17</f>
        <v>7146492</v>
      </c>
      <c r="H112" s="104">
        <f>G112*(1+CENÁRIOS!$I$28)</f>
        <v>8004071.040000001</v>
      </c>
      <c r="I112" s="104">
        <f>H112*(1+CENÁRIOS!$I$28)</f>
        <v>8964559.5648000017</v>
      </c>
      <c r="J112" s="104">
        <f>I112*(1+CENÁRIOS!$I$28)</f>
        <v>10040306.712576004</v>
      </c>
      <c r="K112" s="104">
        <f>J112*(1+CENÁRIOS!$I$28)</f>
        <v>11245143.518085126</v>
      </c>
      <c r="L112" s="104">
        <f>K112*(1+CENÁRIOS!$I$28)</f>
        <v>12594560.740255343</v>
      </c>
      <c r="M112" s="105">
        <f>L112*(1+CENÁRIOS!$I$28)</f>
        <v>14105908.029085984</v>
      </c>
    </row>
    <row r="113" spans="2:13" outlineLevel="1" x14ac:dyDescent="0.25">
      <c r="B113" s="77" t="s">
        <v>218</v>
      </c>
      <c r="C113" s="61">
        <f>BALANÇO!B20+BALANÇO!B31</f>
        <v>1585352</v>
      </c>
      <c r="D113" s="61">
        <f>BALANÇO!C20+BALANÇO!C31</f>
        <v>1606836</v>
      </c>
      <c r="E113" s="61">
        <f>BALANÇO!D20+BALANÇO!D31</f>
        <v>2765063</v>
      </c>
      <c r="F113" s="61">
        <f>BALANÇO!E20+BALANÇO!E31</f>
        <v>4262325</v>
      </c>
      <c r="G113" s="61">
        <f>BALANÇO!F20+BALANÇO!F31</f>
        <v>4921857</v>
      </c>
      <c r="H113" s="104">
        <f>H112-H124</f>
        <v>5112045.540000001</v>
      </c>
      <c r="I113" s="104">
        <f t="shared" ref="I113:M113" si="50">I112-I124</f>
        <v>5204926.4148000013</v>
      </c>
      <c r="J113" s="104">
        <f t="shared" si="50"/>
        <v>5152783.617576004</v>
      </c>
      <c r="K113" s="104">
        <f t="shared" si="50"/>
        <v>4891363.4945851257</v>
      </c>
      <c r="L113" s="104">
        <f t="shared" si="50"/>
        <v>4334646.7097053425</v>
      </c>
      <c r="M113" s="105">
        <f t="shared" si="50"/>
        <v>3368019.7893709838</v>
      </c>
    </row>
    <row r="114" spans="2:13" outlineLevel="1" x14ac:dyDescent="0.25">
      <c r="B114" s="77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3"/>
    </row>
    <row r="115" spans="2:13" outlineLevel="1" x14ac:dyDescent="0.25">
      <c r="B115" s="76" t="s">
        <v>24</v>
      </c>
      <c r="C115" s="64">
        <f>BALANÇO!B26</f>
        <v>530382</v>
      </c>
      <c r="D115" s="64">
        <f>BALANÇO!C26</f>
        <v>544440</v>
      </c>
      <c r="E115" s="64">
        <f>BALANÇO!D26</f>
        <v>661010</v>
      </c>
      <c r="F115" s="64">
        <f>BALANÇO!E26</f>
        <v>654813</v>
      </c>
      <c r="G115" s="64">
        <f>BALANÇO!F26</f>
        <v>914294</v>
      </c>
      <c r="H115" s="102">
        <f>H88</f>
        <v>1005723.4</v>
      </c>
      <c r="I115" s="102">
        <f t="shared" ref="I115:M115" si="51">I88</f>
        <v>1106295.7400000002</v>
      </c>
      <c r="J115" s="102">
        <f t="shared" si="51"/>
        <v>1216925.3140000002</v>
      </c>
      <c r="K115" s="102">
        <f t="shared" si="51"/>
        <v>1338617.8454000005</v>
      </c>
      <c r="L115" s="102">
        <f t="shared" si="51"/>
        <v>1472479.6299400006</v>
      </c>
      <c r="M115" s="103">
        <f t="shared" si="51"/>
        <v>1619727.5929340008</v>
      </c>
    </row>
    <row r="116" spans="2:13" outlineLevel="1" x14ac:dyDescent="0.25">
      <c r="B116" s="76" t="s">
        <v>37</v>
      </c>
      <c r="C116" s="64">
        <f>BALANÇO!B21+BALANÇO!B22+BALANÇO!B23+BALANÇO!B25+BALANÇO!B26+BALANÇO!B28</f>
        <v>624956</v>
      </c>
      <c r="D116" s="64">
        <f>BALANÇO!C21+BALANÇO!C22+BALANÇO!C23+BALANÇO!C25+BALANÇO!C26+BALANÇO!C28</f>
        <v>701777</v>
      </c>
      <c r="E116" s="64">
        <f>BALANÇO!D21+BALANÇO!D22+BALANÇO!D23+BALANÇO!D25+BALANÇO!D26+BALANÇO!D28</f>
        <v>843040</v>
      </c>
      <c r="F116" s="64">
        <f>BALANÇO!E21+BALANÇO!E22+BALANÇO!E23+BALANÇO!E25+BALANÇO!E26+BALANÇO!E28</f>
        <v>922791</v>
      </c>
      <c r="G116" s="64">
        <f>BALANÇO!F21+BALANÇO!F22+BALANÇO!F23+BALANÇO!F25+BALANÇO!F26+BALANÇO!F28</f>
        <v>1383004</v>
      </c>
      <c r="H116" s="65">
        <f>G116*(1+CENÁRIOS!$I$32)</f>
        <v>1576624.56</v>
      </c>
      <c r="I116" s="65">
        <f>H116*(1+CENÁRIOS!$I$32)</f>
        <v>1797351.9984000002</v>
      </c>
      <c r="J116" s="65">
        <f>I116*(1+CENÁRIOS!$I$32)</f>
        <v>2048981.2781760003</v>
      </c>
      <c r="K116" s="65">
        <f>J116*(1+CENÁRIOS!$I$32)</f>
        <v>2335838.6571206409</v>
      </c>
      <c r="L116" s="65">
        <f>K116*(1+CENÁRIOS!$I$32)</f>
        <v>2662856.0691175307</v>
      </c>
      <c r="M116" s="66">
        <f>L116*(1+CENÁRIOS!$I$32)</f>
        <v>3035655.9187939852</v>
      </c>
    </row>
    <row r="117" spans="2:13" outlineLevel="1" x14ac:dyDescent="0.25">
      <c r="B117" s="76"/>
      <c r="C117" s="64"/>
      <c r="D117" s="64"/>
      <c r="E117" s="64"/>
      <c r="F117" s="64"/>
      <c r="G117" s="64"/>
      <c r="H117" s="72"/>
      <c r="I117" s="72"/>
      <c r="J117" s="72"/>
      <c r="K117" s="72"/>
      <c r="L117" s="72"/>
      <c r="M117" s="73"/>
    </row>
    <row r="118" spans="2:13" outlineLevel="1" x14ac:dyDescent="0.25">
      <c r="B118" s="76" t="s">
        <v>38</v>
      </c>
      <c r="C118" s="64">
        <f>BALANÇO!B32+BALANÇO!B33+BALANÇO!B37+BALANÇO!B39</f>
        <v>455837</v>
      </c>
      <c r="D118" s="64">
        <f>BALANÇO!C32+BALANÇO!C33+BALANÇO!C37+BALANÇO!C39</f>
        <v>410842</v>
      </c>
      <c r="E118" s="64">
        <f>BALANÇO!D32+BALANÇO!D33+BALANÇO!D37+BALANÇO!D39</f>
        <v>1198571</v>
      </c>
      <c r="F118" s="64">
        <f>BALANÇO!E32+BALANÇO!E33+BALANÇO!E37+BALANÇO!E39</f>
        <v>1713859</v>
      </c>
      <c r="G118" s="64">
        <f>BALANÇO!F32+BALANÇO!F33+BALANÇO!F37+BALANÇO!F39</f>
        <v>2002092</v>
      </c>
      <c r="H118" s="65">
        <f>G118*(1+CENÁRIOS!$I$33)</f>
        <v>2202301.2000000002</v>
      </c>
      <c r="I118" s="65">
        <f>H118*(1+CENÁRIOS!$I$33)</f>
        <v>2422531.3200000003</v>
      </c>
      <c r="J118" s="65">
        <f>I118*(1+CENÁRIOS!$I$33)</f>
        <v>2664784.4520000005</v>
      </c>
      <c r="K118" s="65">
        <f>J118*(1+CENÁRIOS!$I$33)</f>
        <v>2931262.8972000009</v>
      </c>
      <c r="L118" s="65">
        <f>K118*(1+CENÁRIOS!$I$33)</f>
        <v>3224389.1869200012</v>
      </c>
      <c r="M118" s="66">
        <f>L118*(1+CENÁRIOS!$I$33)</f>
        <v>3546828.1056120014</v>
      </c>
    </row>
    <row r="119" spans="2:13" outlineLevel="1" x14ac:dyDescent="0.25">
      <c r="B119" s="77" t="s">
        <v>173</v>
      </c>
      <c r="C119" s="61">
        <f>C116+C118</f>
        <v>1080793</v>
      </c>
      <c r="D119" s="61">
        <f t="shared" ref="D119:M119" si="52">D116+D118</f>
        <v>1112619</v>
      </c>
      <c r="E119" s="61">
        <f t="shared" si="52"/>
        <v>2041611</v>
      </c>
      <c r="F119" s="61">
        <f t="shared" si="52"/>
        <v>2636650</v>
      </c>
      <c r="G119" s="61">
        <f t="shared" si="52"/>
        <v>3385096</v>
      </c>
      <c r="H119" s="61">
        <f t="shared" si="52"/>
        <v>3778925.7600000002</v>
      </c>
      <c r="I119" s="61">
        <f t="shared" si="52"/>
        <v>4219883.3184000002</v>
      </c>
      <c r="J119" s="61">
        <f t="shared" si="52"/>
        <v>4713765.7301760009</v>
      </c>
      <c r="K119" s="61">
        <f t="shared" si="52"/>
        <v>5267101.5543206418</v>
      </c>
      <c r="L119" s="61">
        <f t="shared" si="52"/>
        <v>5887245.2560375314</v>
      </c>
      <c r="M119" s="62">
        <f t="shared" si="52"/>
        <v>6582484.0244059861</v>
      </c>
    </row>
    <row r="120" spans="2:13" outlineLevel="1" x14ac:dyDescent="0.25">
      <c r="B120" s="76" t="s">
        <v>33</v>
      </c>
      <c r="C120" s="64">
        <f t="shared" ref="C120:M120" si="53">-C105</f>
        <v>-150066</v>
      </c>
      <c r="D120" s="64">
        <f t="shared" si="53"/>
        <v>-242818</v>
      </c>
      <c r="E120" s="64">
        <f t="shared" si="53"/>
        <v>-105308</v>
      </c>
      <c r="F120" s="64">
        <f t="shared" si="53"/>
        <v>-514295</v>
      </c>
      <c r="G120" s="64">
        <f t="shared" si="53"/>
        <v>-549347</v>
      </c>
      <c r="H120" s="65">
        <f t="shared" si="53"/>
        <v>-604281.70000000007</v>
      </c>
      <c r="I120" s="65">
        <f t="shared" si="53"/>
        <v>-664709.87000000011</v>
      </c>
      <c r="J120" s="65">
        <f t="shared" si="53"/>
        <v>-731180.85700000019</v>
      </c>
      <c r="K120" s="65">
        <f t="shared" si="53"/>
        <v>-804298.94270000025</v>
      </c>
      <c r="L120" s="65">
        <f t="shared" si="53"/>
        <v>-884728.83697000029</v>
      </c>
      <c r="M120" s="66">
        <f t="shared" si="53"/>
        <v>-973201.72066700039</v>
      </c>
    </row>
    <row r="121" spans="2:13" outlineLevel="1" x14ac:dyDescent="0.25">
      <c r="B121" s="76" t="s">
        <v>174</v>
      </c>
      <c r="C121" s="64">
        <f>0</f>
        <v>0</v>
      </c>
      <c r="D121" s="64">
        <f>0</f>
        <v>0</v>
      </c>
      <c r="E121" s="64">
        <f>0</f>
        <v>0</v>
      </c>
      <c r="F121" s="64">
        <f>0</f>
        <v>0</v>
      </c>
      <c r="G121" s="64">
        <f>0</f>
        <v>0</v>
      </c>
      <c r="H121" s="64">
        <f>0</f>
        <v>0</v>
      </c>
      <c r="I121" s="64">
        <f>0</f>
        <v>0</v>
      </c>
      <c r="J121" s="64">
        <f>0</f>
        <v>0</v>
      </c>
      <c r="K121" s="64">
        <f>0</f>
        <v>0</v>
      </c>
      <c r="L121" s="64">
        <f>0</f>
        <v>0</v>
      </c>
      <c r="M121" s="58">
        <f>0</f>
        <v>0</v>
      </c>
    </row>
    <row r="122" spans="2:13" outlineLevel="1" x14ac:dyDescent="0.25">
      <c r="B122" s="77" t="s">
        <v>175</v>
      </c>
      <c r="C122" s="61">
        <f>SUM(C119:C121)</f>
        <v>930727</v>
      </c>
      <c r="D122" s="61">
        <f t="shared" ref="D122:M122" si="54">SUM(D119:D121)</f>
        <v>869801</v>
      </c>
      <c r="E122" s="61">
        <f t="shared" si="54"/>
        <v>1936303</v>
      </c>
      <c r="F122" s="61">
        <f t="shared" si="54"/>
        <v>2122355</v>
      </c>
      <c r="G122" s="61">
        <f t="shared" si="54"/>
        <v>2835749</v>
      </c>
      <c r="H122" s="61">
        <f t="shared" si="54"/>
        <v>3174644.06</v>
      </c>
      <c r="I122" s="61">
        <f t="shared" si="54"/>
        <v>3555173.4484000001</v>
      </c>
      <c r="J122" s="61">
        <f t="shared" si="54"/>
        <v>3982584.8731760005</v>
      </c>
      <c r="K122" s="61">
        <f t="shared" si="54"/>
        <v>4462802.6116206413</v>
      </c>
      <c r="L122" s="61">
        <f t="shared" si="54"/>
        <v>5002516.4190675309</v>
      </c>
      <c r="M122" s="62">
        <f t="shared" si="54"/>
        <v>5609282.3037389852</v>
      </c>
    </row>
    <row r="123" spans="2:13" outlineLevel="1" x14ac:dyDescent="0.25">
      <c r="B123" s="77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3"/>
    </row>
    <row r="124" spans="2:13" outlineLevel="1" x14ac:dyDescent="0.25">
      <c r="B124" s="77" t="s">
        <v>176</v>
      </c>
      <c r="C124" s="61">
        <f>BALANÇO!B41</f>
        <v>40008</v>
      </c>
      <c r="D124" s="61">
        <f>BALANÇO!C41</f>
        <v>191464</v>
      </c>
      <c r="E124" s="61">
        <f>BALANÇO!D41</f>
        <v>1168664</v>
      </c>
      <c r="F124" s="61">
        <f>BALANÇO!E41</f>
        <v>1712072</v>
      </c>
      <c r="G124" s="61">
        <f>BALANÇO!F41</f>
        <v>2224635</v>
      </c>
      <c r="H124" s="67">
        <f>G124*(1+CENÁRIOS!$I$35)</f>
        <v>2892025.5</v>
      </c>
      <c r="I124" s="67">
        <f>H124*(1+CENÁRIOS!$I$35)</f>
        <v>3759633.15</v>
      </c>
      <c r="J124" s="67">
        <f>I124*(1+CENÁRIOS!$I$35)</f>
        <v>4887523.0949999997</v>
      </c>
      <c r="K124" s="67">
        <f>J124*(1+CENÁRIOS!$I$35)</f>
        <v>6353780.0235000001</v>
      </c>
      <c r="L124" s="67">
        <f>K124*(1+CENÁRIOS!$I$35)</f>
        <v>8259914.0305500003</v>
      </c>
      <c r="M124" s="68">
        <f>L124*(1+CENÁRIOS!$I$35)</f>
        <v>10737888.239715001</v>
      </c>
    </row>
    <row r="125" spans="2:13" outlineLevel="1" x14ac:dyDescent="0.25">
      <c r="B125" s="76" t="s">
        <v>39</v>
      </c>
      <c r="C125" s="64">
        <f>BALANÇO!B42</f>
        <v>300033</v>
      </c>
      <c r="D125" s="64">
        <f>BALANÇO!C42</f>
        <v>302781</v>
      </c>
      <c r="E125" s="64">
        <f>BALANÇO!D42</f>
        <v>955277</v>
      </c>
      <c r="F125" s="64">
        <f>BALANÇO!E42</f>
        <v>1815485</v>
      </c>
      <c r="G125" s="64">
        <f>BALANÇO!F42</f>
        <v>1823527</v>
      </c>
      <c r="H125" s="65">
        <f>G125*(1+CENÁRIOS!$I$36)</f>
        <v>1841762.27</v>
      </c>
      <c r="I125" s="65">
        <f>H125*(1+CENÁRIOS!$I$36)</f>
        <v>1860179.8927</v>
      </c>
      <c r="J125" s="65">
        <f>I125*(1+CENÁRIOS!$I$36)</f>
        <v>1878781.691627</v>
      </c>
      <c r="K125" s="65">
        <f>J125*(1+CENÁRIOS!$I$36)</f>
        <v>1897569.5085432699</v>
      </c>
      <c r="L125" s="65">
        <f>K125*(1+CENÁRIOS!$I$36)</f>
        <v>1916545.2036287026</v>
      </c>
      <c r="M125" s="66">
        <f>L125*(1+CENÁRIOS!$I$36)</f>
        <v>1935710.6556649895</v>
      </c>
    </row>
    <row r="126" spans="2:13" outlineLevel="1" x14ac:dyDescent="0.25">
      <c r="B126" s="76" t="s">
        <v>40</v>
      </c>
      <c r="C126" s="64">
        <f t="shared" ref="C126:H126" si="55">C67</f>
        <v>252160.95315000016</v>
      </c>
      <c r="D126" s="64">
        <f t="shared" si="55"/>
        <v>146045</v>
      </c>
      <c r="E126" s="64">
        <f t="shared" si="55"/>
        <v>-675562.12941000063</v>
      </c>
      <c r="F126" s="64">
        <f t="shared" si="55"/>
        <v>-137991.071</v>
      </c>
      <c r="G126" s="64">
        <f t="shared" si="55"/>
        <v>568671.01917000301</v>
      </c>
      <c r="H126" s="65">
        <f t="shared" si="55"/>
        <v>781353.0678732252</v>
      </c>
      <c r="I126" s="65">
        <f t="shared" ref="I126:M126" si="56">I67</f>
        <v>667651.02926722309</v>
      </c>
      <c r="J126" s="65">
        <f t="shared" si="56"/>
        <v>313697.0371749216</v>
      </c>
      <c r="K126" s="65">
        <f t="shared" si="56"/>
        <v>-191654.22528667917</v>
      </c>
      <c r="L126" s="65">
        <f t="shared" si="56"/>
        <v>-828931.05191186676</v>
      </c>
      <c r="M126" s="66">
        <f t="shared" si="56"/>
        <v>-1605820.0095957939</v>
      </c>
    </row>
    <row r="127" spans="2:13" outlineLevel="1" x14ac:dyDescent="0.25">
      <c r="B127" s="76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3"/>
    </row>
    <row r="128" spans="2:13" outlineLevel="1" x14ac:dyDescent="0.25">
      <c r="B128" s="77" t="s">
        <v>41</v>
      </c>
      <c r="C128" s="61">
        <f>BALANÇO!B47</f>
        <v>1625360</v>
      </c>
      <c r="D128" s="61">
        <f>BALANÇO!C47</f>
        <v>1798300</v>
      </c>
      <c r="E128" s="61">
        <f>BALANÇO!D47</f>
        <v>3933727</v>
      </c>
      <c r="F128" s="61">
        <f>BALANÇO!E47</f>
        <v>5974397</v>
      </c>
      <c r="G128" s="61">
        <f>BALANÇO!F47</f>
        <v>7146492</v>
      </c>
      <c r="H128" s="67">
        <f>H113+H124</f>
        <v>8004071.040000001</v>
      </c>
      <c r="I128" s="67">
        <f t="shared" ref="I128:M128" si="57">I113+I124</f>
        <v>8964559.5648000017</v>
      </c>
      <c r="J128" s="67">
        <f t="shared" si="57"/>
        <v>10040306.712576004</v>
      </c>
      <c r="K128" s="67">
        <f t="shared" si="57"/>
        <v>11245143.518085126</v>
      </c>
      <c r="L128" s="67">
        <f t="shared" si="57"/>
        <v>12594560.740255343</v>
      </c>
      <c r="M128" s="68">
        <f t="shared" si="57"/>
        <v>14105908.029085984</v>
      </c>
    </row>
    <row r="129" spans="1:13" outlineLevel="1" x14ac:dyDescent="0.25">
      <c r="B129" s="88" t="s">
        <v>42</v>
      </c>
      <c r="C129" s="65">
        <f>C112-C128</f>
        <v>0</v>
      </c>
      <c r="D129" s="65">
        <f>D112-D128</f>
        <v>0</v>
      </c>
      <c r="E129" s="65">
        <f>E112-E128</f>
        <v>0</v>
      </c>
      <c r="F129" s="65">
        <f>F112-F128</f>
        <v>0</v>
      </c>
      <c r="G129" s="65">
        <f>G112-G128</f>
        <v>0</v>
      </c>
      <c r="H129" s="65">
        <f t="shared" ref="H129:M129" si="58">H112-H128</f>
        <v>0</v>
      </c>
      <c r="I129" s="65">
        <f t="shared" si="58"/>
        <v>0</v>
      </c>
      <c r="J129" s="65">
        <f t="shared" si="58"/>
        <v>0</v>
      </c>
      <c r="K129" s="65">
        <f t="shared" si="58"/>
        <v>0</v>
      </c>
      <c r="L129" s="65">
        <f t="shared" si="58"/>
        <v>0</v>
      </c>
      <c r="M129" s="66">
        <f t="shared" si="58"/>
        <v>0</v>
      </c>
    </row>
    <row r="130" spans="1:13" outlineLevel="1" x14ac:dyDescent="0.25">
      <c r="B130" s="76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3"/>
    </row>
    <row r="131" spans="1:13" ht="13.8" outlineLevel="1" thickBot="1" x14ac:dyDescent="0.3">
      <c r="B131" s="76"/>
      <c r="C131" s="72"/>
      <c r="D131" s="72"/>
      <c r="E131" s="152"/>
      <c r="F131" s="72"/>
      <c r="G131" s="72"/>
      <c r="H131" s="72"/>
      <c r="I131" s="72"/>
      <c r="J131" s="72"/>
      <c r="K131" s="72"/>
      <c r="L131" s="72"/>
      <c r="M131" s="73"/>
    </row>
    <row r="132" spans="1:13" ht="13.8" thickBot="1" x14ac:dyDescent="0.3">
      <c r="A132" s="15" t="s">
        <v>1</v>
      </c>
      <c r="B132" s="41" t="s">
        <v>43</v>
      </c>
      <c r="C132" s="42">
        <v>2017</v>
      </c>
      <c r="D132" s="42">
        <v>2018</v>
      </c>
      <c r="E132" s="42">
        <v>2019</v>
      </c>
      <c r="F132" s="42">
        <v>2020</v>
      </c>
      <c r="G132" s="42">
        <v>2021</v>
      </c>
      <c r="H132" s="42">
        <v>2022</v>
      </c>
      <c r="I132" s="42">
        <v>2023</v>
      </c>
      <c r="J132" s="42">
        <v>2024</v>
      </c>
      <c r="K132" s="42">
        <v>2025</v>
      </c>
      <c r="L132" s="42">
        <v>2026</v>
      </c>
      <c r="M132" s="43">
        <v>2027</v>
      </c>
    </row>
    <row r="133" spans="1:13" outlineLevel="1" x14ac:dyDescent="0.25">
      <c r="B133" s="84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96"/>
    </row>
    <row r="134" spans="1:13" outlineLevel="1" x14ac:dyDescent="0.25">
      <c r="B134" s="77" t="s">
        <v>44</v>
      </c>
      <c r="C134" s="65">
        <f t="shared" ref="C134:M134" si="59">C67</f>
        <v>252160.95315000016</v>
      </c>
      <c r="D134" s="65">
        <f t="shared" si="59"/>
        <v>146045</v>
      </c>
      <c r="E134" s="65">
        <f t="shared" si="59"/>
        <v>-675562.12941000063</v>
      </c>
      <c r="F134" s="65">
        <f t="shared" si="59"/>
        <v>-137991.071</v>
      </c>
      <c r="G134" s="65">
        <f t="shared" si="59"/>
        <v>568671.01917000301</v>
      </c>
      <c r="H134" s="65">
        <f t="shared" si="59"/>
        <v>781353.0678732252</v>
      </c>
      <c r="I134" s="65">
        <f t="shared" si="59"/>
        <v>667651.02926722309</v>
      </c>
      <c r="J134" s="65">
        <f t="shared" si="59"/>
        <v>313697.0371749216</v>
      </c>
      <c r="K134" s="65">
        <f t="shared" si="59"/>
        <v>-191654.22528667917</v>
      </c>
      <c r="L134" s="65">
        <f t="shared" si="59"/>
        <v>-828931.05191186676</v>
      </c>
      <c r="M134" s="66">
        <f t="shared" si="59"/>
        <v>-1605820.0095957939</v>
      </c>
    </row>
    <row r="135" spans="1:13" outlineLevel="1" x14ac:dyDescent="0.25">
      <c r="B135" s="76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3"/>
    </row>
    <row r="136" spans="1:13" outlineLevel="1" x14ac:dyDescent="0.25">
      <c r="B136" s="106" t="s">
        <v>45</v>
      </c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3"/>
    </row>
    <row r="137" spans="1:13" outlineLevel="1" x14ac:dyDescent="0.25">
      <c r="B137" s="76" t="s">
        <v>46</v>
      </c>
      <c r="C137" s="65">
        <f>-C110</f>
        <v>79589.589230000041</v>
      </c>
      <c r="D137" s="65">
        <f>-D110</f>
        <v>80766</v>
      </c>
      <c r="E137" s="65">
        <f>-E110</f>
        <v>204289</v>
      </c>
      <c r="F137" s="65">
        <f>-F110</f>
        <v>237023</v>
      </c>
      <c r="G137" s="65">
        <f>-G110</f>
        <v>301966.84172000003</v>
      </c>
      <c r="H137" s="65">
        <f t="shared" ref="H137:M137" si="60">-H48</f>
        <v>362360.21006400004</v>
      </c>
      <c r="I137" s="65">
        <f t="shared" si="60"/>
        <v>434832.25207680004</v>
      </c>
      <c r="J137" s="65">
        <f t="shared" si="60"/>
        <v>521798.70249216002</v>
      </c>
      <c r="K137" s="65">
        <f t="shared" si="60"/>
        <v>626158.44299059198</v>
      </c>
      <c r="L137" s="65">
        <f t="shared" si="60"/>
        <v>751390.13158871036</v>
      </c>
      <c r="M137" s="66">
        <f t="shared" si="60"/>
        <v>901668.15790645243</v>
      </c>
    </row>
    <row r="138" spans="1:13" outlineLevel="1" x14ac:dyDescent="0.25">
      <c r="B138" s="76" t="s">
        <v>27</v>
      </c>
      <c r="C138" s="65">
        <f t="shared" ref="C138:M138" si="61">C91</f>
        <v>-62007</v>
      </c>
      <c r="D138" s="65">
        <f t="shared" si="61"/>
        <v>-45718</v>
      </c>
      <c r="E138" s="65">
        <f t="shared" si="61"/>
        <v>285114</v>
      </c>
      <c r="F138" s="65">
        <f t="shared" si="61"/>
        <v>-92850</v>
      </c>
      <c r="G138" s="65">
        <f t="shared" si="61"/>
        <v>41705</v>
      </c>
      <c r="H138" s="65">
        <f t="shared" si="61"/>
        <v>-13669.059999999823</v>
      </c>
      <c r="I138" s="65">
        <f t="shared" si="61"/>
        <v>-12534.359600000316</v>
      </c>
      <c r="J138" s="65">
        <f t="shared" si="61"/>
        <v>-11136.092775999801</v>
      </c>
      <c r="K138" s="65">
        <f t="shared" si="61"/>
        <v>-9438.8971025601495</v>
      </c>
      <c r="L138" s="65">
        <f t="shared" si="61"/>
        <v>-7403.3335647135973</v>
      </c>
      <c r="M138" s="66">
        <f t="shared" si="61"/>
        <v>-4985.4464781964198</v>
      </c>
    </row>
    <row r="139" spans="1:13" outlineLevel="1" x14ac:dyDescent="0.25">
      <c r="B139" s="76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3"/>
    </row>
    <row r="140" spans="1:13" outlineLevel="1" x14ac:dyDescent="0.25">
      <c r="B140" s="77" t="s">
        <v>47</v>
      </c>
      <c r="C140" s="67">
        <f>SUM(C134:C138)</f>
        <v>269743.54238000023</v>
      </c>
      <c r="D140" s="67">
        <f t="shared" ref="D140:M140" si="62">SUM(D134:D138)</f>
        <v>181093</v>
      </c>
      <c r="E140" s="67">
        <f t="shared" si="62"/>
        <v>-186159.12941000063</v>
      </c>
      <c r="F140" s="67">
        <f t="shared" si="62"/>
        <v>6181.9290000000037</v>
      </c>
      <c r="G140" s="67">
        <f t="shared" si="62"/>
        <v>912342.86089000304</v>
      </c>
      <c r="H140" s="67">
        <f t="shared" si="62"/>
        <v>1130044.2179372255</v>
      </c>
      <c r="I140" s="67">
        <f t="shared" si="62"/>
        <v>1089948.9217440228</v>
      </c>
      <c r="J140" s="67">
        <f t="shared" si="62"/>
        <v>824359.64689108182</v>
      </c>
      <c r="K140" s="67">
        <f t="shared" si="62"/>
        <v>425065.32060135267</v>
      </c>
      <c r="L140" s="67">
        <f t="shared" si="62"/>
        <v>-84944.25388787</v>
      </c>
      <c r="M140" s="68">
        <f t="shared" si="62"/>
        <v>-709137.2981675379</v>
      </c>
    </row>
    <row r="141" spans="1:13" outlineLevel="1" x14ac:dyDescent="0.25">
      <c r="B141" s="76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3"/>
    </row>
    <row r="142" spans="1:13" outlineLevel="1" x14ac:dyDescent="0.25">
      <c r="B142" s="76" t="s">
        <v>48</v>
      </c>
      <c r="C142" s="65">
        <f>C109-503229</f>
        <v>-39799</v>
      </c>
      <c r="D142" s="65">
        <f>D109-C109</f>
        <v>-15411</v>
      </c>
      <c r="E142" s="65">
        <f t="shared" ref="E142:M142" si="63">E109-D109</f>
        <v>4420</v>
      </c>
      <c r="F142" s="65">
        <f t="shared" si="63"/>
        <v>-156084</v>
      </c>
      <c r="G142" s="65">
        <f t="shared" si="63"/>
        <v>133757</v>
      </c>
      <c r="H142" s="65">
        <f>H109-G109</f>
        <v>12903.359999999986</v>
      </c>
      <c r="I142" s="65">
        <f>I109-H109</f>
        <v>13290.460800000001</v>
      </c>
      <c r="J142" s="65">
        <f>J109-I109</f>
        <v>13689.174624000036</v>
      </c>
      <c r="K142" s="65">
        <f>K109-J109</f>
        <v>14099.849862720002</v>
      </c>
      <c r="L142" s="65">
        <f t="shared" si="63"/>
        <v>14522.845358601597</v>
      </c>
      <c r="M142" s="66">
        <f t="shared" si="63"/>
        <v>14958.530719359638</v>
      </c>
    </row>
    <row r="143" spans="1:13" outlineLevel="1" x14ac:dyDescent="0.25">
      <c r="B143" s="76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3"/>
    </row>
    <row r="144" spans="1:13" outlineLevel="1" x14ac:dyDescent="0.25">
      <c r="B144" s="77" t="s">
        <v>49</v>
      </c>
      <c r="C144" s="67">
        <f>C142</f>
        <v>-39799</v>
      </c>
      <c r="D144" s="67">
        <f t="shared" ref="D144:F144" si="64">D142</f>
        <v>-15411</v>
      </c>
      <c r="E144" s="67">
        <f t="shared" si="64"/>
        <v>4420</v>
      </c>
      <c r="F144" s="67">
        <f t="shared" si="64"/>
        <v>-156084</v>
      </c>
      <c r="G144" s="67">
        <f>G142</f>
        <v>133757</v>
      </c>
      <c r="H144" s="67">
        <f t="shared" ref="H144:M144" si="65">H142</f>
        <v>12903.359999999986</v>
      </c>
      <c r="I144" s="67">
        <f t="shared" si="65"/>
        <v>13290.460800000001</v>
      </c>
      <c r="J144" s="67">
        <f t="shared" si="65"/>
        <v>13689.174624000036</v>
      </c>
      <c r="K144" s="67">
        <f t="shared" si="65"/>
        <v>14099.849862720002</v>
      </c>
      <c r="L144" s="67">
        <f t="shared" si="65"/>
        <v>14522.845358601597</v>
      </c>
      <c r="M144" s="68">
        <f t="shared" si="65"/>
        <v>14958.530719359638</v>
      </c>
    </row>
    <row r="145" spans="1:16" outlineLevel="1" x14ac:dyDescent="0.25">
      <c r="B145" s="76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3"/>
    </row>
    <row r="146" spans="1:16" outlineLevel="1" x14ac:dyDescent="0.25">
      <c r="B146" s="76" t="s">
        <v>17</v>
      </c>
      <c r="C146" s="65">
        <f t="shared" ref="C146:M146" si="66">C70</f>
        <v>0</v>
      </c>
      <c r="D146" s="65">
        <f t="shared" si="66"/>
        <v>0</v>
      </c>
      <c r="E146" s="65">
        <f t="shared" si="66"/>
        <v>0</v>
      </c>
      <c r="F146" s="65">
        <f t="shared" si="66"/>
        <v>0</v>
      </c>
      <c r="G146" s="65">
        <f t="shared" si="66"/>
        <v>28637</v>
      </c>
      <c r="H146" s="65">
        <f t="shared" si="66"/>
        <v>28637</v>
      </c>
      <c r="I146" s="65">
        <f t="shared" si="66"/>
        <v>28637</v>
      </c>
      <c r="J146" s="65">
        <f t="shared" si="66"/>
        <v>28637</v>
      </c>
      <c r="K146" s="65">
        <f t="shared" si="66"/>
        <v>28637</v>
      </c>
      <c r="L146" s="65">
        <f t="shared" si="66"/>
        <v>28637</v>
      </c>
      <c r="M146" s="66">
        <f t="shared" si="66"/>
        <v>28637</v>
      </c>
      <c r="O146" s="17"/>
      <c r="P146" s="17">
        <v>2016</v>
      </c>
    </row>
    <row r="147" spans="1:16" outlineLevel="1" x14ac:dyDescent="0.25">
      <c r="B147" s="76" t="s">
        <v>50</v>
      </c>
      <c r="C147" s="65">
        <f>C125-P147</f>
        <v>2578</v>
      </c>
      <c r="D147" s="65">
        <f>D125-C125</f>
        <v>2748</v>
      </c>
      <c r="E147" s="65">
        <f t="shared" ref="E147:G147" si="67">E125-D125</f>
        <v>652496</v>
      </c>
      <c r="F147" s="65">
        <f t="shared" si="67"/>
        <v>860208</v>
      </c>
      <c r="G147" s="65">
        <f t="shared" si="67"/>
        <v>8042</v>
      </c>
      <c r="H147" s="65">
        <f t="shared" ref="H147" si="68">H125-G125</f>
        <v>18235.270000000019</v>
      </c>
      <c r="I147" s="65">
        <f t="shared" ref="I147" si="69">I125-H125</f>
        <v>18417.622699999949</v>
      </c>
      <c r="J147" s="65">
        <f t="shared" ref="J147" si="70">J125-I125</f>
        <v>18601.798927000025</v>
      </c>
      <c r="K147" s="65">
        <f t="shared" ref="K147" si="71">K125-J125</f>
        <v>18787.816916269949</v>
      </c>
      <c r="L147" s="65">
        <f t="shared" ref="L147" si="72">L125-K125</f>
        <v>18975.695085432613</v>
      </c>
      <c r="M147" s="66">
        <f t="shared" ref="M147" si="73">M125-L125</f>
        <v>19165.452036286937</v>
      </c>
      <c r="O147" s="17" t="s">
        <v>39</v>
      </c>
      <c r="P147" s="17">
        <v>297455</v>
      </c>
    </row>
    <row r="148" spans="1:16" outlineLevel="1" x14ac:dyDescent="0.25">
      <c r="B148" s="76" t="s">
        <v>51</v>
      </c>
      <c r="C148" s="65">
        <f>P148-C118</f>
        <v>152956</v>
      </c>
      <c r="D148" s="65">
        <f>D118-C118</f>
        <v>-44995</v>
      </c>
      <c r="E148" s="65">
        <f>E118-D118</f>
        <v>787729</v>
      </c>
      <c r="F148" s="65">
        <f t="shared" ref="F148:G148" si="74">F118-E118</f>
        <v>515288</v>
      </c>
      <c r="G148" s="65">
        <f t="shared" si="74"/>
        <v>288233</v>
      </c>
      <c r="H148" s="65">
        <f t="shared" ref="H148" si="75">H118-G118</f>
        <v>200209.20000000019</v>
      </c>
      <c r="I148" s="65">
        <f t="shared" ref="I148" si="76">I118-H118</f>
        <v>220230.12000000011</v>
      </c>
      <c r="J148" s="65">
        <f t="shared" ref="J148" si="77">J118-I118</f>
        <v>242253.13200000022</v>
      </c>
      <c r="K148" s="65">
        <f t="shared" ref="K148" si="78">K118-J118</f>
        <v>266478.44520000042</v>
      </c>
      <c r="L148" s="65">
        <f t="shared" ref="L148" si="79">L118-K118</f>
        <v>293126.28972000023</v>
      </c>
      <c r="M148" s="66">
        <f t="shared" ref="M148" si="80">M118-L118</f>
        <v>322438.91869200021</v>
      </c>
      <c r="O148" s="17" t="s">
        <v>190</v>
      </c>
      <c r="P148" s="17">
        <v>608793</v>
      </c>
    </row>
    <row r="149" spans="1:16" outlineLevel="1" x14ac:dyDescent="0.25">
      <c r="B149" s="76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3"/>
    </row>
    <row r="150" spans="1:16" outlineLevel="1" x14ac:dyDescent="0.25">
      <c r="B150" s="77" t="s">
        <v>52</v>
      </c>
      <c r="C150" s="67">
        <f>SUM(C146:C148)</f>
        <v>155534</v>
      </c>
      <c r="D150" s="67">
        <f t="shared" ref="D150:M150" si="81">SUM(D146:D148)</f>
        <v>-42247</v>
      </c>
      <c r="E150" s="67">
        <f t="shared" si="81"/>
        <v>1440225</v>
      </c>
      <c r="F150" s="67">
        <f t="shared" si="81"/>
        <v>1375496</v>
      </c>
      <c r="G150" s="67">
        <f t="shared" si="81"/>
        <v>324912</v>
      </c>
      <c r="H150" s="67">
        <f t="shared" si="81"/>
        <v>247081.4700000002</v>
      </c>
      <c r="I150" s="67">
        <f t="shared" si="81"/>
        <v>267284.74270000006</v>
      </c>
      <c r="J150" s="67">
        <f t="shared" si="81"/>
        <v>289491.93092700024</v>
      </c>
      <c r="K150" s="67">
        <f t="shared" si="81"/>
        <v>313903.26211627037</v>
      </c>
      <c r="L150" s="67">
        <f t="shared" si="81"/>
        <v>340738.98480543285</v>
      </c>
      <c r="M150" s="68">
        <f t="shared" si="81"/>
        <v>370241.37072828715</v>
      </c>
    </row>
    <row r="151" spans="1:16" outlineLevel="1" x14ac:dyDescent="0.25">
      <c r="B151" s="76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3"/>
    </row>
    <row r="152" spans="1:16" outlineLevel="1" x14ac:dyDescent="0.25">
      <c r="B152" s="77" t="s">
        <v>53</v>
      </c>
      <c r="C152" s="67">
        <f>C140+C144+C150</f>
        <v>385478.54238000023</v>
      </c>
      <c r="D152" s="67">
        <f t="shared" ref="D152:M152" si="82">D140+D144+D150</f>
        <v>123435</v>
      </c>
      <c r="E152" s="67">
        <f t="shared" si="82"/>
        <v>1258485.8705899995</v>
      </c>
      <c r="F152" s="67">
        <f t="shared" si="82"/>
        <v>1225593.929</v>
      </c>
      <c r="G152" s="67">
        <f t="shared" si="82"/>
        <v>1371011.8608900029</v>
      </c>
      <c r="H152" s="67">
        <f t="shared" si="82"/>
        <v>1390029.0479372256</v>
      </c>
      <c r="I152" s="67">
        <f t="shared" si="82"/>
        <v>1370524.1252440228</v>
      </c>
      <c r="J152" s="67">
        <f t="shared" si="82"/>
        <v>1127540.7524420822</v>
      </c>
      <c r="K152" s="67">
        <f t="shared" si="82"/>
        <v>753068.43258034298</v>
      </c>
      <c r="L152" s="67">
        <f t="shared" si="82"/>
        <v>270317.57627616444</v>
      </c>
      <c r="M152" s="68">
        <f t="shared" si="82"/>
        <v>-323937.39671989111</v>
      </c>
    </row>
    <row r="153" spans="1:16" outlineLevel="1" x14ac:dyDescent="0.25">
      <c r="B153" s="76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3"/>
    </row>
    <row r="154" spans="1:16" outlineLevel="1" x14ac:dyDescent="0.25">
      <c r="B154" s="76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6"/>
    </row>
    <row r="155" spans="1:16" outlineLevel="1" x14ac:dyDescent="0.25">
      <c r="B155" s="76"/>
      <c r="C155" s="65"/>
      <c r="D155" s="65"/>
      <c r="E155" s="65"/>
      <c r="F155" s="65"/>
      <c r="G155" s="65"/>
      <c r="H155" s="72"/>
      <c r="I155" s="72"/>
      <c r="J155" s="72"/>
      <c r="K155" s="72"/>
      <c r="L155" s="72"/>
      <c r="M155" s="73"/>
    </row>
    <row r="156" spans="1:16" outlineLevel="1" x14ac:dyDescent="0.25">
      <c r="B156" s="76"/>
      <c r="C156" s="65"/>
      <c r="D156" s="65"/>
      <c r="E156" s="65"/>
      <c r="F156" s="65"/>
      <c r="G156" s="65"/>
      <c r="H156" s="72"/>
      <c r="I156" s="72"/>
      <c r="J156" s="72"/>
      <c r="K156" s="72"/>
      <c r="L156" s="72"/>
      <c r="M156" s="73"/>
    </row>
    <row r="157" spans="1:16" ht="13.8" outlineLevel="1" thickBot="1" x14ac:dyDescent="0.3">
      <c r="B157" s="76"/>
      <c r="C157" s="72"/>
      <c r="D157" s="72"/>
      <c r="E157" s="152"/>
      <c r="F157" s="72"/>
      <c r="G157" s="72"/>
      <c r="H157" s="72"/>
      <c r="I157" s="72"/>
      <c r="J157" s="72"/>
      <c r="K157" s="72"/>
      <c r="L157" s="72"/>
      <c r="M157" s="73"/>
    </row>
    <row r="158" spans="1:16" ht="13.8" thickBot="1" x14ac:dyDescent="0.3">
      <c r="A158" s="15" t="s">
        <v>1</v>
      </c>
      <c r="B158" s="41" t="s">
        <v>54</v>
      </c>
      <c r="C158" s="42">
        <v>2017</v>
      </c>
      <c r="D158" s="42">
        <v>2018</v>
      </c>
      <c r="E158" s="42">
        <v>2019</v>
      </c>
      <c r="F158" s="42">
        <v>2020</v>
      </c>
      <c r="G158" s="42">
        <v>2021</v>
      </c>
      <c r="H158" s="42">
        <v>2022</v>
      </c>
      <c r="I158" s="42">
        <v>2023</v>
      </c>
      <c r="J158" s="42">
        <v>2024</v>
      </c>
      <c r="K158" s="42">
        <v>2025</v>
      </c>
      <c r="L158" s="42">
        <v>2026</v>
      </c>
      <c r="M158" s="43">
        <v>2027</v>
      </c>
    </row>
    <row r="159" spans="1:16" ht="13.8" outlineLevel="1" thickBot="1" x14ac:dyDescent="0.3">
      <c r="B159" s="76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3"/>
    </row>
    <row r="160" spans="1:16" ht="13.8" outlineLevel="1" thickBot="1" x14ac:dyDescent="0.3">
      <c r="B160" s="107" t="s">
        <v>55</v>
      </c>
      <c r="C160" s="108">
        <v>0</v>
      </c>
      <c r="D160" s="108">
        <v>0</v>
      </c>
      <c r="E160" s="108">
        <v>0</v>
      </c>
      <c r="F160" s="108">
        <v>0</v>
      </c>
      <c r="G160" s="109">
        <v>0</v>
      </c>
      <c r="H160" s="109">
        <v>1</v>
      </c>
      <c r="I160" s="109">
        <v>2</v>
      </c>
      <c r="J160" s="109">
        <v>3</v>
      </c>
      <c r="K160" s="109">
        <v>4</v>
      </c>
      <c r="L160" s="109">
        <v>5</v>
      </c>
      <c r="M160" s="110">
        <v>6</v>
      </c>
    </row>
    <row r="161" spans="2:13" outlineLevel="1" x14ac:dyDescent="0.25">
      <c r="B161" s="76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3"/>
    </row>
    <row r="162" spans="2:13" outlineLevel="1" x14ac:dyDescent="0.25">
      <c r="B162" s="76" t="s">
        <v>10</v>
      </c>
      <c r="C162" s="65">
        <f t="shared" ref="C162:M162" si="83">C45</f>
        <v>96229.953150000161</v>
      </c>
      <c r="D162" s="65">
        <f t="shared" si="83"/>
        <v>177244</v>
      </c>
      <c r="E162" s="65">
        <f t="shared" si="83"/>
        <v>75043.102589999326</v>
      </c>
      <c r="F162" s="65">
        <f t="shared" si="83"/>
        <v>-72622</v>
      </c>
      <c r="G162" s="65">
        <f t="shared" si="83"/>
        <v>434048.01917000295</v>
      </c>
      <c r="H162" s="65">
        <f t="shared" si="83"/>
        <v>734583.5043830038</v>
      </c>
      <c r="I162" s="65">
        <f t="shared" si="83"/>
        <v>644797.0567665844</v>
      </c>
      <c r="J162" s="65">
        <f t="shared" si="83"/>
        <v>371208.16854844906</v>
      </c>
      <c r="K162" s="65">
        <f t="shared" si="83"/>
        <v>-21127.993058715598</v>
      </c>
      <c r="L162" s="65">
        <f t="shared" si="83"/>
        <v>-519220.69240079587</v>
      </c>
      <c r="M162" s="66">
        <f t="shared" si="83"/>
        <v>-1130693.393607398</v>
      </c>
    </row>
    <row r="163" spans="2:13" outlineLevel="1" x14ac:dyDescent="0.25">
      <c r="B163" s="76" t="s">
        <v>56</v>
      </c>
      <c r="C163" s="111">
        <f>IF(C162&lt;0,0,C162*34%)</f>
        <v>32718.184071000058</v>
      </c>
      <c r="D163" s="111">
        <f t="shared" ref="D163:M163" si="84">IF(D162&lt;0,0,D162*34%)</f>
        <v>60262.960000000006</v>
      </c>
      <c r="E163" s="111">
        <f t="shared" si="84"/>
        <v>25514.654880599774</v>
      </c>
      <c r="F163" s="111">
        <f t="shared" si="84"/>
        <v>0</v>
      </c>
      <c r="G163" s="111">
        <f t="shared" si="84"/>
        <v>147576.326517801</v>
      </c>
      <c r="H163" s="111">
        <f t="shared" si="84"/>
        <v>249758.39149022131</v>
      </c>
      <c r="I163" s="111">
        <f t="shared" si="84"/>
        <v>219230.99930063871</v>
      </c>
      <c r="J163" s="111">
        <f t="shared" si="84"/>
        <v>126210.77730647269</v>
      </c>
      <c r="K163" s="111">
        <f t="shared" si="84"/>
        <v>0</v>
      </c>
      <c r="L163" s="111">
        <f t="shared" si="84"/>
        <v>0</v>
      </c>
      <c r="M163" s="112">
        <f t="shared" si="84"/>
        <v>0</v>
      </c>
    </row>
    <row r="164" spans="2:13" outlineLevel="1" x14ac:dyDescent="0.25">
      <c r="B164" s="77" t="s">
        <v>57</v>
      </c>
      <c r="C164" s="67">
        <f>SUM(C162:C163)</f>
        <v>128948.13722100022</v>
      </c>
      <c r="D164" s="67">
        <f t="shared" ref="D164:M164" si="85">SUM(D162:D163)</f>
        <v>237506.96000000002</v>
      </c>
      <c r="E164" s="67">
        <f t="shared" si="85"/>
        <v>100557.7574705991</v>
      </c>
      <c r="F164" s="67">
        <f>SUM(F162:F163)</f>
        <v>-72622</v>
      </c>
      <c r="G164" s="67">
        <f t="shared" si="85"/>
        <v>581624.34568780393</v>
      </c>
      <c r="H164" s="67">
        <f t="shared" si="85"/>
        <v>984341.89587322506</v>
      </c>
      <c r="I164" s="67">
        <f t="shared" si="85"/>
        <v>864028.05606722308</v>
      </c>
      <c r="J164" s="67">
        <f t="shared" si="85"/>
        <v>497418.94585492177</v>
      </c>
      <c r="K164" s="67">
        <f t="shared" si="85"/>
        <v>-21127.993058715598</v>
      </c>
      <c r="L164" s="67">
        <f t="shared" si="85"/>
        <v>-519220.69240079587</v>
      </c>
      <c r="M164" s="68">
        <f t="shared" si="85"/>
        <v>-1130693.393607398</v>
      </c>
    </row>
    <row r="165" spans="2:13" outlineLevel="1" x14ac:dyDescent="0.25">
      <c r="B165" s="76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3"/>
    </row>
    <row r="166" spans="2:13" outlineLevel="1" x14ac:dyDescent="0.25">
      <c r="B166" s="76" t="s">
        <v>58</v>
      </c>
      <c r="C166" s="65">
        <f>C137</f>
        <v>79589.589230000041</v>
      </c>
      <c r="D166" s="65">
        <f>D137</f>
        <v>80766</v>
      </c>
      <c r="E166" s="65">
        <f>E137</f>
        <v>204289</v>
      </c>
      <c r="F166" s="65">
        <f>F137</f>
        <v>237023</v>
      </c>
      <c r="G166" s="65">
        <f>G137</f>
        <v>301966.84172000003</v>
      </c>
      <c r="H166" s="65">
        <f t="shared" ref="H166:M166" si="86">-H48</f>
        <v>362360.21006400004</v>
      </c>
      <c r="I166" s="65">
        <f t="shared" si="86"/>
        <v>434832.25207680004</v>
      </c>
      <c r="J166" s="65">
        <f t="shared" si="86"/>
        <v>521798.70249216002</v>
      </c>
      <c r="K166" s="65">
        <f t="shared" si="86"/>
        <v>626158.44299059198</v>
      </c>
      <c r="L166" s="65">
        <f t="shared" si="86"/>
        <v>751390.13158871036</v>
      </c>
      <c r="M166" s="66">
        <f t="shared" si="86"/>
        <v>901668.15790645243</v>
      </c>
    </row>
    <row r="167" spans="2:13" outlineLevel="1" x14ac:dyDescent="0.25">
      <c r="B167" s="76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3"/>
    </row>
    <row r="168" spans="2:13" outlineLevel="1" x14ac:dyDescent="0.25">
      <c r="B168" s="76" t="s">
        <v>59</v>
      </c>
      <c r="C168" s="65">
        <f t="shared" ref="C168:M168" si="87">C91</f>
        <v>-62007</v>
      </c>
      <c r="D168" s="65">
        <f t="shared" si="87"/>
        <v>-45718</v>
      </c>
      <c r="E168" s="65">
        <f t="shared" si="87"/>
        <v>285114</v>
      </c>
      <c r="F168" s="65">
        <f t="shared" si="87"/>
        <v>-92850</v>
      </c>
      <c r="G168" s="65">
        <f t="shared" si="87"/>
        <v>41705</v>
      </c>
      <c r="H168" s="65">
        <f t="shared" si="87"/>
        <v>-13669.059999999823</v>
      </c>
      <c r="I168" s="65">
        <f t="shared" si="87"/>
        <v>-12534.359600000316</v>
      </c>
      <c r="J168" s="65">
        <f t="shared" si="87"/>
        <v>-11136.092775999801</v>
      </c>
      <c r="K168" s="65">
        <f t="shared" si="87"/>
        <v>-9438.8971025601495</v>
      </c>
      <c r="L168" s="65">
        <f t="shared" si="87"/>
        <v>-7403.3335647135973</v>
      </c>
      <c r="M168" s="66">
        <f t="shared" si="87"/>
        <v>-4985.4464781964198</v>
      </c>
    </row>
    <row r="169" spans="2:13" outlineLevel="1" x14ac:dyDescent="0.25">
      <c r="B169" s="76" t="s">
        <v>60</v>
      </c>
      <c r="C169" s="65">
        <f>CAPEX!B7</f>
        <v>63313.339</v>
      </c>
      <c r="D169" s="65">
        <f>CAPEX!C7</f>
        <v>98004.753000000012</v>
      </c>
      <c r="E169" s="65">
        <f>CAPEX!D7</f>
        <v>159426.16500000001</v>
      </c>
      <c r="F169" s="65">
        <f>CAPEX!E7</f>
        <v>158899.27760999999</v>
      </c>
      <c r="G169" s="65">
        <f>CAPEX!F7</f>
        <v>284256</v>
      </c>
      <c r="H169" s="65">
        <f t="shared" ref="H169:M169" si="88">H109-G109+H137</f>
        <v>375263.57006400003</v>
      </c>
      <c r="I169" s="65">
        <f t="shared" si="88"/>
        <v>448122.71287680004</v>
      </c>
      <c r="J169" s="65">
        <f t="shared" si="88"/>
        <v>535487.87711616</v>
      </c>
      <c r="K169" s="65">
        <f t="shared" si="88"/>
        <v>640258.29285331198</v>
      </c>
      <c r="L169" s="65">
        <f t="shared" si="88"/>
        <v>765912.97694731201</v>
      </c>
      <c r="M169" s="66">
        <f t="shared" si="88"/>
        <v>916626.68862581206</v>
      </c>
    </row>
    <row r="170" spans="2:13" ht="13.8" outlineLevel="1" thickBot="1" x14ac:dyDescent="0.3">
      <c r="B170" s="76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3"/>
    </row>
    <row r="171" spans="2:13" outlineLevel="1" x14ac:dyDescent="0.25">
      <c r="B171" s="113" t="s">
        <v>61</v>
      </c>
      <c r="C171" s="114"/>
      <c r="D171" s="114"/>
      <c r="E171" s="114"/>
      <c r="F171" s="114"/>
      <c r="G171" s="114">
        <f>SUM(G164:G169)</f>
        <v>1209552.187407804</v>
      </c>
      <c r="H171" s="114">
        <f t="shared" ref="H171:K171" si="89">SUM(H164:H169)</f>
        <v>1708296.6160012253</v>
      </c>
      <c r="I171" s="114">
        <f t="shared" si="89"/>
        <v>1734448.6614208228</v>
      </c>
      <c r="J171" s="114">
        <f t="shared" si="89"/>
        <v>1543569.432687242</v>
      </c>
      <c r="K171" s="114">
        <f t="shared" si="89"/>
        <v>1235849.8456826282</v>
      </c>
      <c r="L171" s="114">
        <f>SUM(L164:L169)</f>
        <v>990679.0825705129</v>
      </c>
      <c r="M171" s="115">
        <f>SUM(M164:M169)</f>
        <v>682616.00644667004</v>
      </c>
    </row>
    <row r="172" spans="2:13" outlineLevel="1" x14ac:dyDescent="0.25">
      <c r="B172" s="116" t="s">
        <v>62</v>
      </c>
      <c r="C172" s="117"/>
      <c r="D172" s="117"/>
      <c r="E172" s="117"/>
      <c r="F172" s="117"/>
      <c r="G172" s="117"/>
      <c r="H172" s="117"/>
      <c r="I172" s="117"/>
      <c r="J172" s="117"/>
      <c r="K172" s="117"/>
      <c r="L172" s="117"/>
      <c r="M172" s="118">
        <f>(M171*(1+C187)/(C189-C187))</f>
        <v>9430695.0892361701</v>
      </c>
    </row>
    <row r="173" spans="2:13" outlineLevel="1" x14ac:dyDescent="0.25">
      <c r="B173" s="119" t="s">
        <v>63</v>
      </c>
      <c r="C173" s="117"/>
      <c r="D173" s="117"/>
      <c r="E173" s="117"/>
      <c r="F173" s="117"/>
      <c r="G173" s="120">
        <f t="shared" ref="G173:L173" si="90">SUM(G171:G172)</f>
        <v>1209552.187407804</v>
      </c>
      <c r="H173" s="120">
        <f t="shared" si="90"/>
        <v>1708296.6160012253</v>
      </c>
      <c r="I173" s="120">
        <f t="shared" si="90"/>
        <v>1734448.6614208228</v>
      </c>
      <c r="J173" s="120">
        <f t="shared" si="90"/>
        <v>1543569.432687242</v>
      </c>
      <c r="K173" s="120">
        <f t="shared" si="90"/>
        <v>1235849.8456826282</v>
      </c>
      <c r="L173" s="120">
        <f t="shared" si="90"/>
        <v>990679.0825705129</v>
      </c>
      <c r="M173" s="121">
        <f>SUM(M171:M172)</f>
        <v>10113311.095682841</v>
      </c>
    </row>
    <row r="174" spans="2:13" ht="13.8" outlineLevel="1" thickBot="1" x14ac:dyDescent="0.3">
      <c r="B174" s="122" t="s">
        <v>64</v>
      </c>
      <c r="C174" s="123"/>
      <c r="D174" s="123"/>
      <c r="E174" s="123"/>
      <c r="F174" s="123"/>
      <c r="G174" s="124">
        <f>G173/(1+$C$189)^G160</f>
        <v>1209552.187407804</v>
      </c>
      <c r="H174" s="124">
        <f t="shared" ref="H174:K174" si="91">H173/(1+$C$189)^H160</f>
        <v>1546594.2552575057</v>
      </c>
      <c r="I174" s="124">
        <f>I173/(1+$C$189)^I160</f>
        <v>1421633.5814911348</v>
      </c>
      <c r="J174" s="124">
        <f t="shared" si="91"/>
        <v>1145421.9621034705</v>
      </c>
      <c r="K174" s="124">
        <f t="shared" si="91"/>
        <v>830267.72528301412</v>
      </c>
      <c r="L174" s="124">
        <f>L173/(1+$C$189)^L160</f>
        <v>602557.57952019025</v>
      </c>
      <c r="M174" s="125">
        <f>M173/(1+$C$189)^M160</f>
        <v>5568933.5956160948</v>
      </c>
    </row>
    <row r="175" spans="2:13" ht="13.8" outlineLevel="1" collapsed="1" thickBot="1" x14ac:dyDescent="0.3">
      <c r="B175" s="76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3"/>
    </row>
    <row r="176" spans="2:13" outlineLevel="1" x14ac:dyDescent="0.25">
      <c r="B176" s="113" t="s">
        <v>219</v>
      </c>
      <c r="C176" s="126">
        <f>SUM(H174:M174)</f>
        <v>11115408.699271411</v>
      </c>
      <c r="D176" s="72"/>
      <c r="E176" s="72"/>
      <c r="F176" s="72"/>
      <c r="G176" s="72"/>
      <c r="H176" s="72"/>
      <c r="I176" s="72"/>
      <c r="J176" s="72"/>
      <c r="K176" s="72"/>
      <c r="L176" s="72"/>
      <c r="M176" s="73"/>
    </row>
    <row r="177" spans="1:13" outlineLevel="1" x14ac:dyDescent="0.25">
      <c r="B177" s="116" t="s">
        <v>65</v>
      </c>
      <c r="C177" s="127">
        <f>H105</f>
        <v>604281.70000000007</v>
      </c>
      <c r="D177" s="72"/>
      <c r="E177" s="72"/>
      <c r="F177" s="72"/>
      <c r="G177" s="72"/>
      <c r="H177" s="72"/>
      <c r="I177" s="72"/>
      <c r="J177" s="72"/>
      <c r="K177" s="72"/>
      <c r="L177" s="72"/>
      <c r="M177" s="73"/>
    </row>
    <row r="178" spans="1:13" outlineLevel="1" x14ac:dyDescent="0.25">
      <c r="B178" s="116" t="s">
        <v>222</v>
      </c>
      <c r="C178" s="127">
        <f>-H122</f>
        <v>-3174644.06</v>
      </c>
      <c r="D178" s="72"/>
      <c r="E178" s="72"/>
      <c r="F178" s="72"/>
      <c r="G178" s="72"/>
      <c r="H178" s="72"/>
      <c r="I178" s="72"/>
      <c r="J178" s="72"/>
      <c r="K178" s="72"/>
      <c r="L178" s="72"/>
      <c r="M178" s="73"/>
    </row>
    <row r="179" spans="1:13" outlineLevel="1" x14ac:dyDescent="0.25">
      <c r="B179" s="119" t="s">
        <v>221</v>
      </c>
      <c r="C179" s="128">
        <f>SUM(C176:C178)</f>
        <v>8545046.3392714094</v>
      </c>
      <c r="D179" s="72"/>
      <c r="E179" s="72"/>
      <c r="F179" s="72"/>
      <c r="G179" s="72"/>
      <c r="H179" s="72"/>
      <c r="I179" s="72"/>
      <c r="J179" s="72"/>
      <c r="K179" s="72"/>
      <c r="L179" s="72"/>
      <c r="M179" s="73"/>
    </row>
    <row r="180" spans="1:13" outlineLevel="1" x14ac:dyDescent="0.25">
      <c r="B180" s="119" t="s">
        <v>227</v>
      </c>
      <c r="C180" s="129">
        <f>(C184-C183)/C183</f>
        <v>5.7176865513321138</v>
      </c>
      <c r="D180" s="72"/>
      <c r="E180" s="72"/>
      <c r="F180" s="72"/>
      <c r="G180" s="72"/>
      <c r="H180" s="72"/>
      <c r="I180" s="226"/>
      <c r="J180" s="72"/>
      <c r="K180" s="72"/>
      <c r="L180" s="72"/>
      <c r="M180" s="73"/>
    </row>
    <row r="181" spans="1:13" outlineLevel="1" x14ac:dyDescent="0.25">
      <c r="B181" s="116" t="s">
        <v>226</v>
      </c>
      <c r="C181" s="130"/>
      <c r="D181" s="72"/>
      <c r="E181" s="72"/>
      <c r="F181" s="72"/>
      <c r="G181" s="72"/>
      <c r="H181" s="72"/>
      <c r="I181" s="72"/>
      <c r="J181" s="72"/>
      <c r="K181" s="72"/>
      <c r="L181" s="72"/>
      <c r="M181" s="73"/>
    </row>
    <row r="182" spans="1:13" ht="15.6" customHeight="1" outlineLevel="1" x14ac:dyDescent="0.25">
      <c r="B182" s="116" t="s">
        <v>66</v>
      </c>
      <c r="C182" s="131" cm="1">
        <f t="array" ref="C182">_FV(A183,"Ações em circulação",TRUE)/1000</f>
        <v>243689</v>
      </c>
      <c r="D182" s="72"/>
      <c r="E182" s="72"/>
      <c r="F182" s="72"/>
      <c r="G182" s="72"/>
      <c r="H182" s="72"/>
      <c r="I182" s="72"/>
      <c r="J182" s="72"/>
      <c r="K182" s="72"/>
      <c r="L182" s="72"/>
      <c r="M182" s="73"/>
    </row>
    <row r="183" spans="1:13" outlineLevel="1" x14ac:dyDescent="0.25">
      <c r="A183" s="15" t="e" vm="1">
        <v>#VALUE!</v>
      </c>
      <c r="B183" s="132" t="s">
        <v>192</v>
      </c>
      <c r="C183" s="133" cm="1">
        <f t="array" ref="C183">_FV(A183,"Preço")</f>
        <v>6.79</v>
      </c>
      <c r="D183" s="72"/>
      <c r="E183" s="72"/>
      <c r="F183" s="72"/>
      <c r="G183" s="72"/>
      <c r="H183" s="72"/>
      <c r="I183" s="72"/>
      <c r="J183" s="72"/>
      <c r="K183" s="72"/>
      <c r="L183" s="72"/>
      <c r="M183" s="73"/>
    </row>
    <row r="184" spans="1:13" outlineLevel="1" x14ac:dyDescent="0.25">
      <c r="B184" s="77" t="s">
        <v>224</v>
      </c>
      <c r="C184" s="134">
        <f>C176/C182</f>
        <v>45.613091683545051</v>
      </c>
      <c r="D184" s="72"/>
      <c r="E184" s="72"/>
      <c r="F184" s="72"/>
      <c r="G184" s="72"/>
      <c r="H184" s="72"/>
      <c r="I184" s="72"/>
      <c r="J184" s="72"/>
      <c r="K184" s="72"/>
      <c r="L184" s="72"/>
      <c r="M184" s="73"/>
    </row>
    <row r="185" spans="1:13" outlineLevel="1" x14ac:dyDescent="0.25">
      <c r="B185" s="119"/>
      <c r="C185" s="128"/>
      <c r="D185" s="72"/>
      <c r="E185" s="72"/>
      <c r="F185" s="135"/>
      <c r="G185" s="72"/>
      <c r="H185" s="72"/>
      <c r="I185" s="72"/>
      <c r="J185" s="72"/>
      <c r="K185" s="72"/>
      <c r="L185" s="72"/>
      <c r="M185" s="73"/>
    </row>
    <row r="186" spans="1:13" outlineLevel="1" x14ac:dyDescent="0.25">
      <c r="B186" s="136"/>
      <c r="C186" s="137"/>
      <c r="D186" s="72"/>
      <c r="E186" s="72"/>
      <c r="F186" s="72"/>
      <c r="G186" s="72"/>
      <c r="H186" s="72"/>
      <c r="I186" s="72"/>
      <c r="J186" s="72"/>
      <c r="K186" s="72"/>
      <c r="L186" s="72"/>
      <c r="M186" s="73"/>
    </row>
    <row r="187" spans="1:13" ht="13.8" outlineLevel="1" thickBot="1" x14ac:dyDescent="0.3">
      <c r="B187" s="138" t="s">
        <v>223</v>
      </c>
      <c r="C187" s="139">
        <v>0.03</v>
      </c>
      <c r="D187" s="72"/>
      <c r="E187" s="72"/>
      <c r="F187" s="72"/>
      <c r="G187" s="72"/>
      <c r="H187" s="72"/>
      <c r="I187" s="72"/>
      <c r="J187" s="72"/>
      <c r="K187" s="72"/>
      <c r="L187" s="72"/>
      <c r="M187" s="73"/>
    </row>
    <row r="188" spans="1:13" ht="13.8" outlineLevel="1" thickBot="1" x14ac:dyDescent="0.3">
      <c r="B188" s="140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3"/>
    </row>
    <row r="189" spans="1:13" outlineLevel="1" x14ac:dyDescent="0.25">
      <c r="B189" s="113" t="s">
        <v>72</v>
      </c>
      <c r="C189" s="141">
        <f>C190*C195+C191*C196</f>
        <v>0.10455383510835325</v>
      </c>
      <c r="D189" s="72"/>
      <c r="E189" s="72"/>
      <c r="F189" s="72"/>
      <c r="G189" s="72"/>
      <c r="H189" s="72"/>
      <c r="I189" s="72"/>
      <c r="J189" s="72"/>
      <c r="K189" s="72"/>
      <c r="L189" s="72"/>
      <c r="M189" s="73"/>
    </row>
    <row r="190" spans="1:13" outlineLevel="1" x14ac:dyDescent="0.25">
      <c r="B190" s="119" t="s">
        <v>81</v>
      </c>
      <c r="C190" s="142">
        <f>C204/C203</f>
        <v>2.7009622504230117</v>
      </c>
      <c r="D190" s="72"/>
      <c r="E190" s="72"/>
      <c r="F190" s="72"/>
      <c r="G190" s="72"/>
      <c r="H190" s="72"/>
      <c r="I190" s="72"/>
      <c r="J190" s="72"/>
      <c r="K190" s="72"/>
      <c r="L190" s="72"/>
      <c r="M190" s="73"/>
    </row>
    <row r="191" spans="1:13" outlineLevel="1" x14ac:dyDescent="0.25">
      <c r="B191" s="116" t="s">
        <v>246</v>
      </c>
      <c r="C191" s="143">
        <f>C204/(C204+C203)</f>
        <v>0.72980000001737333</v>
      </c>
      <c r="D191" s="72"/>
      <c r="E191" s="72"/>
      <c r="F191" s="72"/>
      <c r="G191" s="72"/>
      <c r="H191" s="72"/>
      <c r="I191" s="72"/>
      <c r="J191" s="72"/>
      <c r="K191" s="72"/>
      <c r="L191" s="72"/>
      <c r="M191" s="73"/>
    </row>
    <row r="192" spans="1:13" outlineLevel="1" x14ac:dyDescent="0.25">
      <c r="B192" s="116" t="s">
        <v>184</v>
      </c>
      <c r="C192" s="143">
        <f>C203/(C204+C203)</f>
        <v>0.27019999998262673</v>
      </c>
      <c r="D192" s="72"/>
      <c r="E192" s="72"/>
      <c r="F192" s="72"/>
      <c r="G192" s="72"/>
      <c r="H192" s="72"/>
      <c r="I192" s="72"/>
      <c r="J192" s="72"/>
      <c r="K192" s="72"/>
      <c r="L192" s="72"/>
      <c r="M192" s="73"/>
    </row>
    <row r="193" spans="2:13" outlineLevel="1" x14ac:dyDescent="0.25">
      <c r="B193" s="116" t="s">
        <v>75</v>
      </c>
      <c r="C193" s="144">
        <v>0.34</v>
      </c>
      <c r="D193" s="72"/>
      <c r="E193" s="72"/>
      <c r="F193" s="72"/>
      <c r="G193" s="72"/>
      <c r="H193" s="72"/>
      <c r="I193" s="72"/>
      <c r="J193" s="72"/>
      <c r="K193" s="72"/>
      <c r="L193" s="72"/>
      <c r="M193" s="73"/>
    </row>
    <row r="194" spans="2:13" outlineLevel="1" x14ac:dyDescent="0.25">
      <c r="B194" s="116" t="s">
        <v>77</v>
      </c>
      <c r="C194" s="143">
        <v>0.02</v>
      </c>
      <c r="D194" s="72"/>
      <c r="E194" s="72"/>
      <c r="F194" s="72"/>
      <c r="G194" s="72"/>
      <c r="H194" s="72"/>
      <c r="I194" s="72"/>
      <c r="J194" s="72"/>
      <c r="K194" s="72"/>
      <c r="L194" s="72"/>
      <c r="M194" s="73"/>
    </row>
    <row r="195" spans="2:13" outlineLevel="1" x14ac:dyDescent="0.25">
      <c r="B195" s="116" t="s">
        <v>76</v>
      </c>
      <c r="C195" s="143">
        <f>C194*(1-C193)</f>
        <v>1.3199999999999998E-2</v>
      </c>
      <c r="D195" s="72"/>
      <c r="E195" s="72"/>
      <c r="F195" s="72"/>
      <c r="G195" s="72"/>
      <c r="H195" s="72"/>
      <c r="I195" s="72"/>
      <c r="J195" s="72"/>
      <c r="K195" s="72"/>
      <c r="L195" s="72"/>
      <c r="M195" s="73"/>
    </row>
    <row r="196" spans="2:13" outlineLevel="1" x14ac:dyDescent="0.25">
      <c r="B196" s="116" t="s">
        <v>74</v>
      </c>
      <c r="C196" s="143">
        <f>C197+C198*C199</f>
        <v>9.4410980270114103E-2</v>
      </c>
      <c r="D196" s="72"/>
      <c r="E196" s="72"/>
      <c r="F196" s="72"/>
      <c r="G196" s="72"/>
      <c r="H196" s="72"/>
      <c r="I196" s="72"/>
      <c r="J196" s="72"/>
      <c r="K196" s="72"/>
      <c r="L196" s="72"/>
      <c r="M196" s="73"/>
    </row>
    <row r="197" spans="2:13" outlineLevel="1" x14ac:dyDescent="0.25">
      <c r="B197" s="116" t="s">
        <v>73</v>
      </c>
      <c r="C197" s="143">
        <v>7.3755993997464278E-3</v>
      </c>
      <c r="D197" s="72"/>
      <c r="E197" s="72"/>
      <c r="F197" s="72"/>
      <c r="G197" s="72"/>
      <c r="H197" s="72"/>
      <c r="I197" s="72"/>
      <c r="J197" s="72"/>
      <c r="K197" s="72"/>
      <c r="L197" s="72"/>
      <c r="M197" s="73"/>
    </row>
    <row r="198" spans="2:13" outlineLevel="1" x14ac:dyDescent="0.25">
      <c r="B198" s="116" t="s">
        <v>78</v>
      </c>
      <c r="C198" s="130">
        <v>1.45</v>
      </c>
      <c r="D198" s="72"/>
      <c r="E198" s="72"/>
      <c r="F198" s="72"/>
      <c r="G198" s="72"/>
      <c r="H198" s="72"/>
      <c r="I198" s="72"/>
      <c r="J198" s="72"/>
      <c r="K198" s="72"/>
      <c r="L198" s="72"/>
      <c r="M198" s="73"/>
    </row>
    <row r="199" spans="2:13" outlineLevel="1" x14ac:dyDescent="0.25">
      <c r="B199" s="116" t="s">
        <v>79</v>
      </c>
      <c r="C199" s="143">
        <f>C200-C197</f>
        <v>6.0024400600253575E-2</v>
      </c>
      <c r="D199" s="145"/>
      <c r="E199" s="72"/>
      <c r="F199" s="72"/>
      <c r="G199" s="72"/>
      <c r="H199" s="72"/>
      <c r="I199" s="72"/>
      <c r="J199" s="72"/>
      <c r="K199" s="72"/>
      <c r="L199" s="72"/>
      <c r="M199" s="73"/>
    </row>
    <row r="200" spans="2:13" ht="13.8" outlineLevel="1" thickBot="1" x14ac:dyDescent="0.3">
      <c r="B200" s="146" t="s">
        <v>80</v>
      </c>
      <c r="C200" s="147">
        <v>6.7400000000000002E-2</v>
      </c>
      <c r="D200" s="72"/>
      <c r="E200" s="72"/>
      <c r="F200" s="72"/>
      <c r="G200" s="72"/>
      <c r="H200" s="72"/>
      <c r="I200" s="72"/>
      <c r="J200" s="72"/>
      <c r="K200" s="72"/>
      <c r="L200" s="72"/>
      <c r="M200" s="73"/>
    </row>
    <row r="201" spans="2:13" outlineLevel="1" x14ac:dyDescent="0.25">
      <c r="B201" s="76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3"/>
    </row>
    <row r="202" spans="2:13" ht="13.8" outlineLevel="1" thickBot="1" x14ac:dyDescent="0.3">
      <c r="B202" s="76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3"/>
    </row>
    <row r="203" spans="2:13" outlineLevel="1" x14ac:dyDescent="0.25">
      <c r="B203" s="148" t="s">
        <v>83</v>
      </c>
      <c r="C203" s="149">
        <v>5910000</v>
      </c>
      <c r="D203" s="72"/>
      <c r="E203" s="72"/>
      <c r="F203" s="72"/>
      <c r="G203" s="72"/>
      <c r="H203" s="72"/>
      <c r="I203" s="72"/>
      <c r="J203" s="72"/>
      <c r="K203" s="72"/>
      <c r="L203" s="72"/>
      <c r="M203" s="73"/>
    </row>
    <row r="204" spans="2:13" outlineLevel="1" x14ac:dyDescent="0.25">
      <c r="B204" s="222" t="s">
        <v>84</v>
      </c>
      <c r="C204" s="223">
        <v>15962686.9</v>
      </c>
      <c r="D204" s="72"/>
      <c r="E204" s="72"/>
      <c r="F204" s="250"/>
      <c r="G204" s="72"/>
      <c r="H204" s="72"/>
      <c r="I204" s="72"/>
      <c r="J204" s="72"/>
      <c r="K204" s="72"/>
      <c r="L204" s="72"/>
      <c r="M204" s="73"/>
    </row>
    <row r="205" spans="2:13" ht="13.8" outlineLevel="1" thickBot="1" x14ac:dyDescent="0.3">
      <c r="B205" s="146" t="s">
        <v>245</v>
      </c>
      <c r="C205" s="150">
        <f>C204+C203</f>
        <v>21872686.899999999</v>
      </c>
      <c r="D205" s="72"/>
      <c r="E205" s="72"/>
      <c r="F205" s="72"/>
      <c r="G205" s="72"/>
      <c r="H205" s="72"/>
      <c r="I205" s="72"/>
      <c r="J205" s="72"/>
      <c r="K205" s="72"/>
      <c r="L205" s="72"/>
      <c r="M205" s="73"/>
    </row>
    <row r="206" spans="2:13" outlineLevel="1" x14ac:dyDescent="0.25">
      <c r="B206" s="76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3"/>
    </row>
    <row r="207" spans="2:13" outlineLevel="1" x14ac:dyDescent="0.25">
      <c r="B207" s="76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3"/>
    </row>
    <row r="208" spans="2:13" outlineLevel="1" x14ac:dyDescent="0.25">
      <c r="B208" s="76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3"/>
    </row>
    <row r="209" spans="2:13" outlineLevel="1" x14ac:dyDescent="0.25">
      <c r="B209" s="76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3"/>
    </row>
    <row r="210" spans="2:13" outlineLevel="1" x14ac:dyDescent="0.25">
      <c r="B210" s="77" t="s">
        <v>220</v>
      </c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3"/>
    </row>
    <row r="211" spans="2:13" ht="14.4" outlineLevel="1" x14ac:dyDescent="0.3">
      <c r="B211" s="151" t="s">
        <v>82</v>
      </c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3"/>
    </row>
    <row r="212" spans="2:13" ht="13.8" outlineLevel="1" thickBot="1" x14ac:dyDescent="0.3">
      <c r="B212" s="81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3"/>
    </row>
  </sheetData>
  <hyperlinks>
    <hyperlink ref="B211" r:id="rId1" xr:uid="{69A31AAE-A024-4435-BDB5-E9AC307EADFA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7573-0BFD-4078-A6CC-F2A15C6BC616}">
  <sheetPr codeName="Planilha7">
    <tabColor theme="5" tint="0.79998168889431442"/>
  </sheetPr>
  <dimension ref="A1:L18"/>
  <sheetViews>
    <sheetView showGridLines="0" workbookViewId="0">
      <selection activeCell="B28" sqref="B28"/>
    </sheetView>
  </sheetViews>
  <sheetFormatPr defaultRowHeight="14.4" x14ac:dyDescent="0.3"/>
  <sheetData>
    <row r="1" spans="1:12" ht="15" thickBot="1" x14ac:dyDescent="0.35">
      <c r="A1" s="272" t="s">
        <v>225</v>
      </c>
      <c r="B1" s="273"/>
      <c r="C1" s="274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3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</row>
    <row r="3" spans="1:12" x14ac:dyDescent="0.3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</row>
    <row r="4" spans="1:12" x14ac:dyDescent="0.3">
      <c r="A4" s="29"/>
      <c r="B4" s="29"/>
      <c r="C4" s="29"/>
      <c r="D4" s="31"/>
      <c r="E4" s="29"/>
      <c r="F4" s="29"/>
      <c r="G4" s="29"/>
      <c r="H4" s="29"/>
      <c r="I4" s="29"/>
      <c r="J4" s="29"/>
      <c r="K4" s="29"/>
      <c r="L4" s="29"/>
    </row>
    <row r="5" spans="1:12" x14ac:dyDescent="0.3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x14ac:dyDescent="0.3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</row>
    <row r="7" spans="1:12" x14ac:dyDescent="0.3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</row>
    <row r="8" spans="1:12" x14ac:dyDescent="0.3">
      <c r="A8" s="29"/>
      <c r="B8" s="29"/>
      <c r="C8" s="29"/>
      <c r="D8" s="31"/>
      <c r="E8" s="29"/>
      <c r="F8" s="29"/>
      <c r="G8" s="29"/>
      <c r="H8" s="29"/>
      <c r="I8" s="29"/>
      <c r="J8" s="29"/>
      <c r="K8" s="29"/>
      <c r="L8" s="29"/>
    </row>
    <row r="9" spans="1:12" x14ac:dyDescent="0.3">
      <c r="A9" s="29"/>
      <c r="B9" s="29"/>
      <c r="C9" s="29"/>
      <c r="D9" s="31"/>
      <c r="E9" s="29"/>
      <c r="F9" s="29"/>
      <c r="G9" s="29"/>
      <c r="H9" s="29"/>
      <c r="I9" s="29"/>
      <c r="J9" s="29"/>
      <c r="K9" s="29"/>
      <c r="L9" s="29"/>
    </row>
    <row r="10" spans="1:12" x14ac:dyDescent="0.3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</row>
    <row r="11" spans="1:12" x14ac:dyDescent="0.3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</row>
    <row r="12" spans="1:12" x14ac:dyDescent="0.3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</row>
    <row r="13" spans="1:12" x14ac:dyDescent="0.3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</row>
    <row r="14" spans="1:12" x14ac:dyDescent="0.3">
      <c r="A14" s="29"/>
      <c r="B14" s="29"/>
      <c r="C14" s="29"/>
      <c r="D14" s="32"/>
      <c r="E14" s="29"/>
      <c r="F14" s="29"/>
      <c r="G14" s="29"/>
      <c r="H14" s="29"/>
      <c r="I14" s="29"/>
      <c r="J14" s="29"/>
      <c r="K14" s="29"/>
      <c r="L14" s="29"/>
    </row>
    <row r="15" spans="1:12" x14ac:dyDescent="0.3">
      <c r="A15" s="29"/>
      <c r="B15" s="29"/>
      <c r="C15" s="29"/>
      <c r="D15" s="32"/>
      <c r="E15" s="29"/>
      <c r="F15" s="29"/>
      <c r="G15" s="29"/>
      <c r="H15" s="29"/>
      <c r="I15" s="29"/>
      <c r="J15" s="29"/>
      <c r="K15" s="29"/>
      <c r="L15" s="29"/>
    </row>
    <row r="16" spans="1:12" x14ac:dyDescent="0.3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</row>
    <row r="17" spans="1:12" x14ac:dyDescent="0.3">
      <c r="A17" s="29"/>
      <c r="B17" s="29"/>
      <c r="C17" s="29"/>
      <c r="D17" s="32"/>
      <c r="E17" s="29"/>
      <c r="F17" s="29"/>
      <c r="G17" s="29"/>
      <c r="H17" s="29"/>
      <c r="I17" s="29"/>
      <c r="J17" s="29"/>
      <c r="K17" s="29"/>
      <c r="L17" s="29"/>
    </row>
    <row r="18" spans="1:12" x14ac:dyDescent="0.3">
      <c r="B18" s="29"/>
      <c r="C18" s="29" t="s">
        <v>228</v>
      </c>
      <c r="D18" s="33"/>
      <c r="E18" s="29"/>
      <c r="F18" s="29"/>
      <c r="G18" s="29"/>
      <c r="H18" s="29"/>
      <c r="I18" s="29"/>
      <c r="J18" s="29"/>
      <c r="K18" s="29"/>
      <c r="L18" s="29"/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32DF5-688B-4664-9310-43FD369D0FE9}">
  <sheetPr codeName="Planilha5">
    <tabColor theme="5" tint="0.79998168889431442"/>
  </sheetPr>
  <dimension ref="A1:F7"/>
  <sheetViews>
    <sheetView showGridLines="0" tabSelected="1" workbookViewId="0">
      <selection activeCell="A14" sqref="A14"/>
    </sheetView>
  </sheetViews>
  <sheetFormatPr defaultRowHeight="14.4" x14ac:dyDescent="0.3"/>
  <cols>
    <col min="1" max="1" width="24.77734375" customWidth="1"/>
  </cols>
  <sheetData>
    <row r="1" spans="1:6" ht="28.8" x14ac:dyDescent="0.3">
      <c r="A1" s="21" t="s">
        <v>193</v>
      </c>
      <c r="B1" s="22">
        <v>2017</v>
      </c>
      <c r="C1" s="22">
        <v>2018</v>
      </c>
      <c r="D1" s="22">
        <v>2019</v>
      </c>
      <c r="E1" s="22">
        <v>2020</v>
      </c>
      <c r="F1" s="23">
        <v>2021</v>
      </c>
    </row>
    <row r="2" spans="1:6" x14ac:dyDescent="0.3">
      <c r="A2" s="153" t="s">
        <v>194</v>
      </c>
      <c r="B2" s="65">
        <v>3769.404</v>
      </c>
      <c r="C2" s="65">
        <v>15346.970000000001</v>
      </c>
      <c r="D2" s="65">
        <v>69886.682000000001</v>
      </c>
      <c r="E2" s="65">
        <v>24388.048859999999</v>
      </c>
      <c r="F2" s="66">
        <v>75361</v>
      </c>
    </row>
    <row r="3" spans="1:6" x14ac:dyDescent="0.3">
      <c r="A3" s="153" t="s">
        <v>195</v>
      </c>
      <c r="B3" s="65">
        <v>9709.6329999999998</v>
      </c>
      <c r="C3" s="65">
        <v>31189.567999999999</v>
      </c>
      <c r="D3" s="65">
        <v>34823.243000000002</v>
      </c>
      <c r="E3" s="65">
        <v>49798.722300000001</v>
      </c>
      <c r="F3" s="66">
        <v>72969</v>
      </c>
    </row>
    <row r="4" spans="1:6" x14ac:dyDescent="0.3">
      <c r="A4" s="153" t="s">
        <v>196</v>
      </c>
      <c r="B4" s="65">
        <v>32323.530999999999</v>
      </c>
      <c r="C4" s="65">
        <v>40491.195</v>
      </c>
      <c r="D4" s="65">
        <v>39444.719000000005</v>
      </c>
      <c r="E4" s="65">
        <v>59654.042690000002</v>
      </c>
      <c r="F4" s="66">
        <v>93821</v>
      </c>
    </row>
    <row r="5" spans="1:6" x14ac:dyDescent="0.3">
      <c r="A5" s="153" t="s">
        <v>197</v>
      </c>
      <c r="B5" s="154" t="s">
        <v>85</v>
      </c>
      <c r="C5" s="154" t="s">
        <v>85</v>
      </c>
      <c r="D5" s="154">
        <v>0</v>
      </c>
      <c r="E5" s="154">
        <v>0</v>
      </c>
      <c r="F5" s="155">
        <v>5953.6274700000004</v>
      </c>
    </row>
    <row r="6" spans="1:6" ht="15" thickBot="1" x14ac:dyDescent="0.35">
      <c r="A6" s="156" t="s">
        <v>198</v>
      </c>
      <c r="B6" s="157">
        <v>17510.771000000001</v>
      </c>
      <c r="C6" s="157">
        <v>10977.02</v>
      </c>
      <c r="D6" s="157">
        <v>15271.521000000001</v>
      </c>
      <c r="E6" s="157">
        <v>25058.463759999999</v>
      </c>
      <c r="F6" s="158">
        <v>36151.372530000001</v>
      </c>
    </row>
    <row r="7" spans="1:6" ht="15.6" thickTop="1" thickBot="1" x14ac:dyDescent="0.35">
      <c r="A7" s="159" t="s">
        <v>199</v>
      </c>
      <c r="B7" s="160">
        <v>63313.339</v>
      </c>
      <c r="C7" s="160">
        <v>98004.753000000012</v>
      </c>
      <c r="D7" s="160">
        <v>159426.16500000001</v>
      </c>
      <c r="E7" s="160">
        <v>158899.27760999999</v>
      </c>
      <c r="F7" s="161">
        <v>284256</v>
      </c>
    </row>
  </sheetData>
  <pageMargins left="0.511811024" right="0.511811024" top="0.78740157499999996" bottom="0.78740157499999996" header="0.31496062000000002" footer="0.31496062000000002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405A8-2775-4177-8C4C-9E24E5DC2269}">
  <sheetPr codeName="Planilha3">
    <tabColor theme="5" tint="0.79998168889431442"/>
  </sheetPr>
  <dimension ref="A1:H46"/>
  <sheetViews>
    <sheetView showGridLines="0" workbookViewId="0">
      <selection activeCell="H13" sqref="H13"/>
    </sheetView>
  </sheetViews>
  <sheetFormatPr defaultRowHeight="14.4" x14ac:dyDescent="0.3"/>
  <cols>
    <col min="1" max="1" width="34.33203125" bestFit="1" customWidth="1"/>
    <col min="8" max="8" width="10.77734375" bestFit="1" customWidth="1"/>
  </cols>
  <sheetData>
    <row r="1" spans="1:8" x14ac:dyDescent="0.3">
      <c r="A1" s="1"/>
      <c r="B1" s="2">
        <v>17</v>
      </c>
      <c r="C1" s="2">
        <v>18</v>
      </c>
      <c r="D1" s="2">
        <v>19</v>
      </c>
      <c r="E1" s="2">
        <v>20</v>
      </c>
      <c r="F1" s="7">
        <v>21</v>
      </c>
    </row>
    <row r="2" spans="1:8" x14ac:dyDescent="0.3">
      <c r="A2" s="3" t="s">
        <v>86</v>
      </c>
      <c r="B2" s="4">
        <v>2478471.02134</v>
      </c>
      <c r="C2" s="4">
        <v>2844800</v>
      </c>
      <c r="D2" s="4">
        <v>3193066</v>
      </c>
      <c r="E2" s="4">
        <v>3050555</v>
      </c>
      <c r="F2" s="8">
        <v>6389593</v>
      </c>
    </row>
    <row r="3" spans="1:8" x14ac:dyDescent="0.3">
      <c r="A3" s="153" t="s">
        <v>87</v>
      </c>
      <c r="B3" s="162">
        <v>2478471.02134</v>
      </c>
      <c r="C3" s="162">
        <v>2844800</v>
      </c>
      <c r="D3" s="162">
        <v>3193066</v>
      </c>
      <c r="E3" s="162">
        <v>2839862.0510299997</v>
      </c>
      <c r="F3" s="163">
        <v>3651347.8485699994</v>
      </c>
    </row>
    <row r="4" spans="1:8" x14ac:dyDescent="0.3">
      <c r="A4" s="153" t="s">
        <v>88</v>
      </c>
      <c r="B4" s="162">
        <v>0</v>
      </c>
      <c r="C4" s="162">
        <v>0</v>
      </c>
      <c r="D4" s="162">
        <v>0</v>
      </c>
      <c r="E4" s="162">
        <v>240330</v>
      </c>
      <c r="F4" s="163">
        <v>3229840.0091961008</v>
      </c>
    </row>
    <row r="5" spans="1:8" x14ac:dyDescent="0.3">
      <c r="A5" s="153" t="s">
        <v>89</v>
      </c>
      <c r="B5" s="162">
        <v>0</v>
      </c>
      <c r="C5" s="162">
        <v>0</v>
      </c>
      <c r="D5" s="162">
        <v>0</v>
      </c>
      <c r="E5" s="162">
        <v>-29637.051029999973</v>
      </c>
      <c r="F5" s="163">
        <v>-491594.85776610032</v>
      </c>
    </row>
    <row r="6" spans="1:8" x14ac:dyDescent="0.3">
      <c r="A6" s="173"/>
      <c r="B6" s="162">
        <v>0</v>
      </c>
      <c r="C6" s="162">
        <v>0</v>
      </c>
      <c r="D6" s="162">
        <v>0</v>
      </c>
      <c r="E6" s="162">
        <v>0</v>
      </c>
      <c r="F6" s="163">
        <v>0</v>
      </c>
    </row>
    <row r="7" spans="1:8" x14ac:dyDescent="0.3">
      <c r="A7" s="3" t="s">
        <v>90</v>
      </c>
      <c r="B7" s="4">
        <v>1968571.6493000002</v>
      </c>
      <c r="C7" s="4">
        <v>2275057</v>
      </c>
      <c r="D7" s="4">
        <v>2545422.1025899993</v>
      </c>
      <c r="E7" s="4">
        <v>2388059</v>
      </c>
      <c r="F7" s="8">
        <v>5110462</v>
      </c>
    </row>
    <row r="8" spans="1:8" x14ac:dyDescent="0.3">
      <c r="A8" s="153" t="s">
        <v>91</v>
      </c>
      <c r="B8" s="162">
        <v>1968571.6493000002</v>
      </c>
      <c r="C8" s="162">
        <v>2275057</v>
      </c>
      <c r="D8" s="162">
        <v>2545422.1025899993</v>
      </c>
      <c r="E8" s="162">
        <v>2223818.3863499998</v>
      </c>
      <c r="F8" s="163">
        <v>2955258.2421799996</v>
      </c>
    </row>
    <row r="9" spans="1:8" x14ac:dyDescent="0.3">
      <c r="A9" s="153" t="s">
        <v>92</v>
      </c>
      <c r="B9" s="162">
        <v>0</v>
      </c>
      <c r="C9" s="162">
        <v>0</v>
      </c>
      <c r="D9" s="162">
        <v>0</v>
      </c>
      <c r="E9" s="162">
        <v>188294</v>
      </c>
      <c r="F9" s="163">
        <v>2536922.7623919742</v>
      </c>
    </row>
    <row r="10" spans="1:8" x14ac:dyDescent="0.3">
      <c r="A10" s="153" t="s">
        <v>89</v>
      </c>
      <c r="B10" s="162">
        <v>0</v>
      </c>
      <c r="C10" s="162">
        <v>0</v>
      </c>
      <c r="D10" s="162">
        <v>0</v>
      </c>
      <c r="E10" s="162">
        <v>-24053</v>
      </c>
      <c r="F10" s="163">
        <v>-381719.00457197445</v>
      </c>
    </row>
    <row r="11" spans="1:8" x14ac:dyDescent="0.3">
      <c r="A11" s="153" t="s">
        <v>93</v>
      </c>
      <c r="B11" s="162">
        <v>-1006602</v>
      </c>
      <c r="C11" s="162">
        <v>-1159124</v>
      </c>
      <c r="D11" s="162">
        <v>-1286810</v>
      </c>
      <c r="E11" s="162">
        <v>-1346071</v>
      </c>
      <c r="F11" s="163">
        <v>-2758851</v>
      </c>
    </row>
    <row r="12" spans="1:8" x14ac:dyDescent="0.3">
      <c r="A12" s="173"/>
      <c r="B12" s="162">
        <v>0</v>
      </c>
      <c r="C12" s="162">
        <v>0</v>
      </c>
      <c r="D12" s="162">
        <v>0</v>
      </c>
      <c r="E12" s="162">
        <v>0</v>
      </c>
      <c r="F12" s="163">
        <v>0</v>
      </c>
    </row>
    <row r="13" spans="1:8" x14ac:dyDescent="0.3">
      <c r="A13" s="3" t="s">
        <v>94</v>
      </c>
      <c r="B13" s="4">
        <v>961970</v>
      </c>
      <c r="C13" s="4">
        <v>1115933</v>
      </c>
      <c r="D13" s="4">
        <v>1258612</v>
      </c>
      <c r="E13" s="4">
        <v>1041987</v>
      </c>
      <c r="F13" s="8">
        <v>2351611.6641299999</v>
      </c>
      <c r="H13" s="13"/>
    </row>
    <row r="14" spans="1:8" x14ac:dyDescent="0.3">
      <c r="A14" s="164"/>
      <c r="B14" s="162">
        <v>0</v>
      </c>
      <c r="C14" s="162">
        <v>0</v>
      </c>
      <c r="D14" s="162">
        <v>0</v>
      </c>
      <c r="E14" s="162">
        <v>0</v>
      </c>
      <c r="F14" s="163">
        <v>0</v>
      </c>
    </row>
    <row r="15" spans="1:8" x14ac:dyDescent="0.3">
      <c r="A15" s="164" t="s">
        <v>95</v>
      </c>
      <c r="B15" s="162">
        <v>-876889.69614999997</v>
      </c>
      <c r="C15" s="162">
        <v>-935986</v>
      </c>
      <c r="D15" s="162">
        <v>-789921</v>
      </c>
      <c r="E15" s="162">
        <v>-1130953</v>
      </c>
      <c r="F15" s="163">
        <v>-1949234.9808299972</v>
      </c>
      <c r="H15" s="13"/>
    </row>
    <row r="16" spans="1:8" x14ac:dyDescent="0.3">
      <c r="A16" s="153" t="s">
        <v>68</v>
      </c>
      <c r="B16" s="162">
        <v>-705520</v>
      </c>
      <c r="C16" s="162">
        <v>-769040</v>
      </c>
      <c r="D16" s="162">
        <v>-846498</v>
      </c>
      <c r="E16" s="162">
        <v>-863193</v>
      </c>
      <c r="F16" s="163">
        <v>-1529670.0022699975</v>
      </c>
    </row>
    <row r="17" spans="1:8" x14ac:dyDescent="0.3">
      <c r="A17" s="153" t="s">
        <v>96</v>
      </c>
      <c r="B17" s="162">
        <v>-160219.69615</v>
      </c>
      <c r="C17" s="162">
        <v>-169649</v>
      </c>
      <c r="D17" s="162">
        <v>-337071</v>
      </c>
      <c r="E17" s="162">
        <v>-251417</v>
      </c>
      <c r="F17" s="163">
        <v>-387892.97855999955</v>
      </c>
      <c r="H17" s="13"/>
    </row>
    <row r="18" spans="1:8" x14ac:dyDescent="0.3">
      <c r="A18" s="153" t="s">
        <v>97</v>
      </c>
      <c r="B18" s="162">
        <v>-11150</v>
      </c>
      <c r="C18" s="162">
        <v>2703</v>
      </c>
      <c r="D18" s="162">
        <v>393648</v>
      </c>
      <c r="E18" s="162">
        <v>-16343</v>
      </c>
      <c r="F18" s="163">
        <v>-31672</v>
      </c>
    </row>
    <row r="19" spans="1:8" x14ac:dyDescent="0.3">
      <c r="A19" s="153"/>
      <c r="B19" s="162">
        <v>0</v>
      </c>
      <c r="C19" s="162">
        <v>0</v>
      </c>
      <c r="D19" s="162">
        <v>0</v>
      </c>
      <c r="E19" s="162">
        <v>0</v>
      </c>
      <c r="F19" s="163">
        <v>0</v>
      </c>
    </row>
    <row r="20" spans="1:8" x14ac:dyDescent="0.3">
      <c r="A20" s="3" t="s">
        <v>8</v>
      </c>
      <c r="B20" s="4">
        <v>164670</v>
      </c>
      <c r="C20" s="4">
        <v>260713</v>
      </c>
      <c r="D20" s="4">
        <v>672980</v>
      </c>
      <c r="E20" s="4">
        <v>148057</v>
      </c>
      <c r="F20" s="8">
        <v>704342.27782000299</v>
      </c>
    </row>
    <row r="21" spans="1:8" x14ac:dyDescent="0.3">
      <c r="A21" s="168"/>
      <c r="B21" s="162">
        <v>0</v>
      </c>
      <c r="C21" s="162">
        <v>0</v>
      </c>
      <c r="D21" s="162">
        <v>0</v>
      </c>
      <c r="E21" s="162">
        <v>0</v>
      </c>
      <c r="F21" s="163">
        <v>0</v>
      </c>
    </row>
    <row r="22" spans="1:8" x14ac:dyDescent="0.3">
      <c r="A22" s="3" t="s">
        <v>98</v>
      </c>
      <c r="B22" s="4">
        <v>-79589.589230000041</v>
      </c>
      <c r="C22" s="4">
        <v>-80766</v>
      </c>
      <c r="D22" s="4">
        <v>-204289</v>
      </c>
      <c r="E22" s="4">
        <v>-237023</v>
      </c>
      <c r="F22" s="8">
        <v>-301966.84172000003</v>
      </c>
    </row>
    <row r="23" spans="1:8" x14ac:dyDescent="0.3">
      <c r="A23" s="168"/>
      <c r="B23" s="162">
        <v>0</v>
      </c>
      <c r="C23" s="162">
        <v>0</v>
      </c>
      <c r="D23" s="162">
        <v>0</v>
      </c>
      <c r="E23" s="162">
        <v>0</v>
      </c>
      <c r="F23" s="163">
        <v>0</v>
      </c>
    </row>
    <row r="24" spans="1:8" x14ac:dyDescent="0.3">
      <c r="A24" s="3" t="s">
        <v>99</v>
      </c>
      <c r="B24" s="4">
        <v>85080.303849999997</v>
      </c>
      <c r="C24" s="4">
        <v>179947</v>
      </c>
      <c r="D24" s="4">
        <v>468691</v>
      </c>
      <c r="E24" s="4">
        <v>-88966</v>
      </c>
      <c r="F24" s="8">
        <v>402375.43610000296</v>
      </c>
    </row>
    <row r="25" spans="1:8" x14ac:dyDescent="0.3">
      <c r="A25" s="165" t="s">
        <v>11</v>
      </c>
      <c r="B25" s="162">
        <v>-203515.04289000007</v>
      </c>
      <c r="C25" s="162">
        <v>-91730</v>
      </c>
      <c r="D25" s="162">
        <v>-61377</v>
      </c>
      <c r="E25" s="162">
        <v>-131193</v>
      </c>
      <c r="F25" s="163">
        <v>-192094</v>
      </c>
    </row>
    <row r="26" spans="1:8" x14ac:dyDescent="0.3">
      <c r="A26" s="172"/>
      <c r="B26" s="162">
        <v>0</v>
      </c>
      <c r="C26" s="162">
        <v>0</v>
      </c>
      <c r="D26" s="162">
        <v>0</v>
      </c>
      <c r="E26" s="162">
        <v>0</v>
      </c>
      <c r="F26" s="163">
        <v>0</v>
      </c>
    </row>
    <row r="27" spans="1:8" x14ac:dyDescent="0.3">
      <c r="A27" s="3" t="s">
        <v>100</v>
      </c>
      <c r="B27" s="4">
        <v>-118434.83371999985</v>
      </c>
      <c r="C27" s="4">
        <v>88218</v>
      </c>
      <c r="D27" s="4">
        <v>407314</v>
      </c>
      <c r="E27" s="4">
        <v>-220159</v>
      </c>
      <c r="F27" s="8">
        <v>210281.43610000296</v>
      </c>
    </row>
    <row r="28" spans="1:8" x14ac:dyDescent="0.3">
      <c r="A28" s="165" t="s">
        <v>101</v>
      </c>
      <c r="B28" s="162">
        <v>359446</v>
      </c>
      <c r="C28" s="162">
        <v>60531</v>
      </c>
      <c r="D28" s="162">
        <v>-97587</v>
      </c>
      <c r="E28" s="162">
        <v>88234</v>
      </c>
      <c r="F28" s="163">
        <v>287550</v>
      </c>
    </row>
    <row r="29" spans="1:8" x14ac:dyDescent="0.3">
      <c r="A29" s="172"/>
      <c r="B29" s="162">
        <v>0</v>
      </c>
      <c r="C29" s="162">
        <v>0</v>
      </c>
      <c r="D29" s="162">
        <v>0</v>
      </c>
      <c r="E29" s="162">
        <v>0</v>
      </c>
      <c r="F29" s="163">
        <v>0</v>
      </c>
    </row>
    <row r="30" spans="1:8" x14ac:dyDescent="0.3">
      <c r="A30" s="3" t="s">
        <v>102</v>
      </c>
      <c r="B30" s="4">
        <v>241010.99999999997</v>
      </c>
      <c r="C30" s="4">
        <v>148748</v>
      </c>
      <c r="D30" s="4">
        <v>309727</v>
      </c>
      <c r="E30" s="4">
        <v>-131925</v>
      </c>
      <c r="F30" s="8">
        <v>497831.43610000296</v>
      </c>
    </row>
    <row r="31" spans="1:8" x14ac:dyDescent="0.3">
      <c r="A31" s="28"/>
      <c r="B31" s="162">
        <v>0</v>
      </c>
      <c r="C31" s="162">
        <v>0</v>
      </c>
      <c r="D31" s="162">
        <v>0</v>
      </c>
      <c r="E31" s="162">
        <v>0</v>
      </c>
      <c r="F31" s="163">
        <v>0</v>
      </c>
    </row>
    <row r="32" spans="1:8" x14ac:dyDescent="0.3">
      <c r="A32" s="167" t="s">
        <v>103</v>
      </c>
      <c r="B32" s="162">
        <v>0</v>
      </c>
      <c r="C32" s="162">
        <v>0</v>
      </c>
      <c r="D32" s="162">
        <v>0</v>
      </c>
      <c r="E32" s="162">
        <v>0</v>
      </c>
      <c r="F32" s="163">
        <v>0</v>
      </c>
    </row>
    <row r="33" spans="1:6" x14ac:dyDescent="0.3">
      <c r="A33" s="168"/>
      <c r="B33" s="162">
        <v>0</v>
      </c>
      <c r="C33" s="162">
        <v>0</v>
      </c>
      <c r="D33" s="162">
        <v>0</v>
      </c>
      <c r="E33" s="162">
        <v>0</v>
      </c>
      <c r="F33" s="163">
        <v>0</v>
      </c>
    </row>
    <row r="34" spans="1:6" ht="15" thickBot="1" x14ac:dyDescent="0.35">
      <c r="A34" s="169" t="s">
        <v>104</v>
      </c>
      <c r="B34" s="170">
        <v>0</v>
      </c>
      <c r="C34" s="170">
        <v>0</v>
      </c>
      <c r="D34" s="170">
        <v>0</v>
      </c>
      <c r="E34" s="170">
        <v>0</v>
      </c>
      <c r="F34" s="171">
        <v>0</v>
      </c>
    </row>
    <row r="35" spans="1:6" ht="15" thickTop="1" x14ac:dyDescent="0.3">
      <c r="A35" s="166"/>
      <c r="B35" s="162">
        <v>0</v>
      </c>
      <c r="C35" s="162">
        <v>0</v>
      </c>
      <c r="D35" s="162">
        <v>0</v>
      </c>
      <c r="E35" s="162">
        <v>0</v>
      </c>
      <c r="F35" s="163">
        <v>0</v>
      </c>
    </row>
    <row r="36" spans="1:6" x14ac:dyDescent="0.3">
      <c r="A36" s="164" t="s">
        <v>105</v>
      </c>
      <c r="B36" s="162">
        <v>164670</v>
      </c>
      <c r="C36" s="162">
        <v>260713</v>
      </c>
      <c r="D36" s="162">
        <v>672980</v>
      </c>
      <c r="E36" s="162">
        <v>148057</v>
      </c>
      <c r="F36" s="163">
        <v>704342.27782000299</v>
      </c>
    </row>
    <row r="37" spans="1:6" x14ac:dyDescent="0.3">
      <c r="A37" s="165" t="s">
        <v>106</v>
      </c>
      <c r="B37" s="162">
        <v>0</v>
      </c>
      <c r="C37" s="162">
        <v>0</v>
      </c>
      <c r="D37" s="162">
        <v>-379766.76699999999</v>
      </c>
      <c r="E37" s="162">
        <v>-14005.317999999999</v>
      </c>
      <c r="F37" s="163">
        <v>0</v>
      </c>
    </row>
    <row r="38" spans="1:6" x14ac:dyDescent="0.3">
      <c r="A38" s="165" t="s">
        <v>107</v>
      </c>
      <c r="B38" s="162">
        <v>32900</v>
      </c>
      <c r="C38" s="162">
        <v>0</v>
      </c>
      <c r="D38" s="162">
        <v>168276.35</v>
      </c>
      <c r="E38" s="162">
        <v>83130.923390000011</v>
      </c>
      <c r="F38" s="163">
        <v>4860.7083399999983</v>
      </c>
    </row>
    <row r="39" spans="1:6" x14ac:dyDescent="0.3">
      <c r="A39" s="3" t="s">
        <v>108</v>
      </c>
      <c r="B39" s="4">
        <v>197570</v>
      </c>
      <c r="C39" s="4">
        <v>260713</v>
      </c>
      <c r="D39" s="4">
        <v>461489.58300000004</v>
      </c>
      <c r="E39" s="4">
        <v>217182.13989999992</v>
      </c>
      <c r="F39" s="8">
        <v>709202.986160003</v>
      </c>
    </row>
    <row r="40" spans="1:6" x14ac:dyDescent="0.3">
      <c r="A40" s="3" t="s">
        <v>109</v>
      </c>
      <c r="B40" s="4">
        <v>197570</v>
      </c>
      <c r="C40" s="4">
        <v>260713</v>
      </c>
      <c r="D40" s="4">
        <v>310830.58062999998</v>
      </c>
      <c r="E40" s="4">
        <v>31757.738819999864</v>
      </c>
      <c r="F40" s="8">
        <v>482507.90621999995</v>
      </c>
    </row>
    <row r="41" spans="1:6" x14ac:dyDescent="0.3">
      <c r="A41" s="28"/>
      <c r="B41" s="162">
        <v>0</v>
      </c>
      <c r="C41" s="162">
        <v>0</v>
      </c>
      <c r="D41" s="162">
        <v>0</v>
      </c>
      <c r="E41" s="162">
        <v>0</v>
      </c>
      <c r="F41" s="163">
        <v>0</v>
      </c>
    </row>
    <row r="42" spans="1:6" x14ac:dyDescent="0.3">
      <c r="A42" s="164" t="s">
        <v>102</v>
      </c>
      <c r="B42" s="162">
        <v>241011</v>
      </c>
      <c r="C42" s="162">
        <v>148748</v>
      </c>
      <c r="D42" s="162">
        <v>309727</v>
      </c>
      <c r="E42" s="162">
        <v>-131925</v>
      </c>
      <c r="F42" s="163">
        <v>497831.43610000296</v>
      </c>
    </row>
    <row r="43" spans="1:6" x14ac:dyDescent="0.3">
      <c r="A43" s="165" t="s">
        <v>106</v>
      </c>
      <c r="B43" s="162">
        <v>0</v>
      </c>
      <c r="C43" s="162">
        <v>0</v>
      </c>
      <c r="D43" s="162">
        <v>-516679.23199999996</v>
      </c>
      <c r="E43" s="162">
        <v>-28939.071</v>
      </c>
      <c r="F43" s="163">
        <v>0</v>
      </c>
    </row>
    <row r="44" spans="1:6" x14ac:dyDescent="0.3">
      <c r="A44" s="165" t="s">
        <v>107</v>
      </c>
      <c r="B44" s="162">
        <v>86000</v>
      </c>
      <c r="C44" s="162">
        <v>0</v>
      </c>
      <c r="D44" s="162">
        <v>328357.76499999996</v>
      </c>
      <c r="E44" s="162">
        <v>86852.111502400003</v>
      </c>
      <c r="F44" s="163">
        <v>-71348.446256200026</v>
      </c>
    </row>
    <row r="45" spans="1:6" x14ac:dyDescent="0.3">
      <c r="A45" s="3" t="s">
        <v>110</v>
      </c>
      <c r="B45" s="4">
        <v>327010.99999999994</v>
      </c>
      <c r="C45" s="4">
        <v>148748</v>
      </c>
      <c r="D45" s="4">
        <v>121405.53300000002</v>
      </c>
      <c r="E45" s="4">
        <v>-74011.657297600046</v>
      </c>
      <c r="F45" s="8">
        <v>426482.98984380293</v>
      </c>
    </row>
    <row r="46" spans="1:6" ht="15" thickBot="1" x14ac:dyDescent="0.35">
      <c r="A46" s="5" t="s">
        <v>111</v>
      </c>
      <c r="B46" s="6">
        <v>327010.99999999994</v>
      </c>
      <c r="C46" s="6">
        <v>148748</v>
      </c>
      <c r="D46" s="6">
        <v>150840.03300000002</v>
      </c>
      <c r="E46" s="6">
        <v>-47527.542326898067</v>
      </c>
      <c r="F46" s="9">
        <v>471862.5201356996</v>
      </c>
    </row>
  </sheetData>
  <pageMargins left="0.511811024" right="0.511811024" top="0.78740157499999996" bottom="0.78740157499999996" header="0.31496062000000002" footer="0.31496062000000002"/>
  <picture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C758D-A93C-4C22-A34A-F4EAAEF9AED7}">
  <sheetPr codeName="Planilha6">
    <tabColor theme="5" tint="0.79998168889431442"/>
  </sheetPr>
  <dimension ref="A1:F47"/>
  <sheetViews>
    <sheetView showGridLines="0" zoomScaleNormal="100" workbookViewId="0">
      <selection activeCell="G5" sqref="G5"/>
    </sheetView>
  </sheetViews>
  <sheetFormatPr defaultRowHeight="14.4" x14ac:dyDescent="0.3"/>
  <cols>
    <col min="1" max="1" width="32.88671875" bestFit="1" customWidth="1"/>
  </cols>
  <sheetData>
    <row r="1" spans="1:6" ht="20.399999999999999" x14ac:dyDescent="0.3">
      <c r="A1" s="174" t="s">
        <v>112</v>
      </c>
      <c r="B1" s="175">
        <v>2017</v>
      </c>
      <c r="C1" s="175">
        <v>2018</v>
      </c>
      <c r="D1" s="176">
        <v>2019</v>
      </c>
      <c r="E1" s="177" t="s">
        <v>113</v>
      </c>
      <c r="F1" s="178">
        <v>2021</v>
      </c>
    </row>
    <row r="2" spans="1:6" x14ac:dyDescent="0.3">
      <c r="A2" s="179" t="s">
        <v>114</v>
      </c>
      <c r="B2" s="4">
        <v>735664</v>
      </c>
      <c r="C2" s="4">
        <v>832866</v>
      </c>
      <c r="D2" s="4">
        <v>1560576</v>
      </c>
      <c r="E2" s="4">
        <v>3275251</v>
      </c>
      <c r="F2" s="8">
        <v>3617346</v>
      </c>
    </row>
    <row r="3" spans="1:6" x14ac:dyDescent="0.3">
      <c r="A3" s="165" t="s">
        <v>115</v>
      </c>
      <c r="B3" s="162">
        <v>150066</v>
      </c>
      <c r="C3" s="162">
        <v>242818</v>
      </c>
      <c r="D3" s="162">
        <v>105308</v>
      </c>
      <c r="E3" s="162">
        <v>514295</v>
      </c>
      <c r="F3" s="163">
        <v>549347</v>
      </c>
    </row>
    <row r="4" spans="1:6" x14ac:dyDescent="0.3">
      <c r="A4" s="165" t="s">
        <v>116</v>
      </c>
      <c r="B4" s="162">
        <v>106799</v>
      </c>
      <c r="C4" s="162">
        <v>91119</v>
      </c>
      <c r="D4" s="162">
        <v>586449</v>
      </c>
      <c r="E4" s="162">
        <v>960008</v>
      </c>
      <c r="F4" s="163">
        <v>1330303</v>
      </c>
    </row>
    <row r="5" spans="1:6" x14ac:dyDescent="0.3">
      <c r="A5" s="165" t="s">
        <v>117</v>
      </c>
      <c r="B5" s="162">
        <v>318919</v>
      </c>
      <c r="C5" s="162">
        <v>334899</v>
      </c>
      <c r="D5" s="162">
        <v>428544</v>
      </c>
      <c r="E5" s="162">
        <v>901475</v>
      </c>
      <c r="F5" s="163">
        <v>1042336</v>
      </c>
    </row>
    <row r="6" spans="1:6" x14ac:dyDescent="0.3">
      <c r="A6" s="165" t="s">
        <v>118</v>
      </c>
      <c r="B6" s="162">
        <v>137798</v>
      </c>
      <c r="C6" s="162">
        <v>138849</v>
      </c>
      <c r="D6" s="162">
        <v>417278</v>
      </c>
      <c r="E6" s="162">
        <v>752800</v>
      </c>
      <c r="F6" s="163">
        <v>611081</v>
      </c>
    </row>
    <row r="7" spans="1:6" x14ac:dyDescent="0.3">
      <c r="A7" s="165" t="s">
        <v>119</v>
      </c>
      <c r="B7" s="162">
        <v>22082</v>
      </c>
      <c r="C7" s="162">
        <v>25181</v>
      </c>
      <c r="D7" s="162">
        <v>22997</v>
      </c>
      <c r="E7" s="162">
        <v>146673</v>
      </c>
      <c r="F7" s="163">
        <v>84279</v>
      </c>
    </row>
    <row r="8" spans="1:6" x14ac:dyDescent="0.3">
      <c r="A8" s="179" t="s">
        <v>120</v>
      </c>
      <c r="B8" s="4">
        <v>889696</v>
      </c>
      <c r="C8" s="4">
        <v>965434</v>
      </c>
      <c r="D8" s="4">
        <v>2373151</v>
      </c>
      <c r="E8" s="4">
        <v>2699146</v>
      </c>
      <c r="F8" s="8">
        <v>3529146</v>
      </c>
    </row>
    <row r="9" spans="1:6" x14ac:dyDescent="0.3">
      <c r="A9" s="180" t="s">
        <v>121</v>
      </c>
      <c r="B9" s="181">
        <v>335570</v>
      </c>
      <c r="C9" s="181">
        <v>412843</v>
      </c>
      <c r="D9" s="181">
        <v>665324</v>
      </c>
      <c r="E9" s="181">
        <v>919394</v>
      </c>
      <c r="F9" s="182">
        <v>1367362</v>
      </c>
    </row>
    <row r="10" spans="1:6" x14ac:dyDescent="0.3">
      <c r="A10" s="183" t="s">
        <v>122</v>
      </c>
      <c r="B10" s="184">
        <v>3358</v>
      </c>
      <c r="C10" s="184">
        <v>536</v>
      </c>
      <c r="D10" s="184">
        <v>536</v>
      </c>
      <c r="E10" s="184">
        <v>0</v>
      </c>
      <c r="F10" s="185">
        <v>0</v>
      </c>
    </row>
    <row r="11" spans="1:6" x14ac:dyDescent="0.3">
      <c r="A11" s="183" t="s">
        <v>123</v>
      </c>
      <c r="B11" s="184">
        <v>211116</v>
      </c>
      <c r="C11" s="184">
        <v>288218</v>
      </c>
      <c r="D11" s="184">
        <v>222646</v>
      </c>
      <c r="E11" s="184">
        <v>444822</v>
      </c>
      <c r="F11" s="185">
        <v>756103</v>
      </c>
    </row>
    <row r="12" spans="1:6" x14ac:dyDescent="0.3">
      <c r="A12" s="183" t="s">
        <v>124</v>
      </c>
      <c r="B12" s="184">
        <v>120470</v>
      </c>
      <c r="C12" s="184">
        <v>123463</v>
      </c>
      <c r="D12" s="184">
        <v>441517</v>
      </c>
      <c r="E12" s="184">
        <v>473622</v>
      </c>
      <c r="F12" s="185">
        <v>538557</v>
      </c>
    </row>
    <row r="13" spans="1:6" x14ac:dyDescent="0.3">
      <c r="A13" s="183" t="s">
        <v>116</v>
      </c>
      <c r="B13" s="184">
        <v>626</v>
      </c>
      <c r="C13" s="184">
        <v>626</v>
      </c>
      <c r="D13" s="184">
        <v>625</v>
      </c>
      <c r="E13" s="184">
        <v>950</v>
      </c>
      <c r="F13" s="185">
        <v>72702</v>
      </c>
    </row>
    <row r="14" spans="1:6" x14ac:dyDescent="0.3">
      <c r="A14" s="165" t="s">
        <v>125</v>
      </c>
      <c r="B14" s="186" t="s">
        <v>85</v>
      </c>
      <c r="C14" s="186" t="s">
        <v>85</v>
      </c>
      <c r="D14" s="186" t="s">
        <v>85</v>
      </c>
      <c r="E14" s="186" t="s">
        <v>85</v>
      </c>
      <c r="F14" s="187" t="s">
        <v>85</v>
      </c>
    </row>
    <row r="15" spans="1:6" x14ac:dyDescent="0.3">
      <c r="A15" s="165" t="s">
        <v>34</v>
      </c>
      <c r="B15" s="162">
        <v>463430</v>
      </c>
      <c r="C15" s="162">
        <v>448019</v>
      </c>
      <c r="D15" s="162">
        <v>452439</v>
      </c>
      <c r="E15" s="162">
        <v>296355</v>
      </c>
      <c r="F15" s="163">
        <v>430112</v>
      </c>
    </row>
    <row r="16" spans="1:6" x14ac:dyDescent="0.3">
      <c r="A16" s="165" t="s">
        <v>126</v>
      </c>
      <c r="B16" s="162">
        <v>90696</v>
      </c>
      <c r="C16" s="162">
        <v>104572</v>
      </c>
      <c r="D16" s="162">
        <v>1255388</v>
      </c>
      <c r="E16" s="162">
        <v>1483397</v>
      </c>
      <c r="F16" s="163">
        <v>1731672</v>
      </c>
    </row>
    <row r="17" spans="1:6" x14ac:dyDescent="0.3">
      <c r="A17" s="179" t="s">
        <v>127</v>
      </c>
      <c r="B17" s="4">
        <v>1625360</v>
      </c>
      <c r="C17" s="4">
        <v>1798300</v>
      </c>
      <c r="D17" s="4">
        <v>3933727</v>
      </c>
      <c r="E17" s="4">
        <v>5974397</v>
      </c>
      <c r="F17" s="8">
        <v>7146492</v>
      </c>
    </row>
    <row r="18" spans="1:6" x14ac:dyDescent="0.3">
      <c r="A18" s="180"/>
      <c r="B18" s="188"/>
      <c r="C18" s="189"/>
      <c r="D18" s="190"/>
      <c r="E18" s="190"/>
      <c r="F18" s="191"/>
    </row>
    <row r="19" spans="1:6" ht="20.399999999999999" x14ac:dyDescent="0.3">
      <c r="A19" s="192" t="s">
        <v>128</v>
      </c>
      <c r="B19" s="12">
        <v>2017</v>
      </c>
      <c r="C19" s="12">
        <v>2018</v>
      </c>
      <c r="D19" s="10">
        <v>2019</v>
      </c>
      <c r="E19" s="11" t="s">
        <v>113</v>
      </c>
      <c r="F19" s="193">
        <v>2021</v>
      </c>
    </row>
    <row r="20" spans="1:6" x14ac:dyDescent="0.3">
      <c r="A20" s="179" t="s">
        <v>129</v>
      </c>
      <c r="B20" s="4">
        <v>868202</v>
      </c>
      <c r="C20" s="4">
        <v>931553</v>
      </c>
      <c r="D20" s="4">
        <v>1093629</v>
      </c>
      <c r="E20" s="4">
        <v>1846599</v>
      </c>
      <c r="F20" s="8">
        <v>2161217</v>
      </c>
    </row>
    <row r="21" spans="1:6" x14ac:dyDescent="0.3">
      <c r="A21" s="194" t="s">
        <v>130</v>
      </c>
      <c r="B21" s="162">
        <v>23110</v>
      </c>
      <c r="C21" s="162">
        <v>94658</v>
      </c>
      <c r="D21" s="162">
        <v>27037</v>
      </c>
      <c r="E21" s="162">
        <v>93275</v>
      </c>
      <c r="F21" s="163">
        <v>129733</v>
      </c>
    </row>
    <row r="22" spans="1:6" x14ac:dyDescent="0.3">
      <c r="A22" s="194" t="s">
        <v>131</v>
      </c>
      <c r="B22" s="162">
        <v>0</v>
      </c>
      <c r="C22" s="162">
        <v>0</v>
      </c>
      <c r="D22" s="162">
        <v>0</v>
      </c>
      <c r="E22" s="162">
        <v>0</v>
      </c>
      <c r="F22" s="163">
        <v>77743</v>
      </c>
    </row>
    <row r="23" spans="1:6" x14ac:dyDescent="0.3">
      <c r="A23" s="194" t="s">
        <v>132</v>
      </c>
      <c r="B23" s="186"/>
      <c r="C23" s="186"/>
      <c r="D23" s="186"/>
      <c r="E23" s="186">
        <v>0</v>
      </c>
      <c r="F23" s="187">
        <v>4617</v>
      </c>
    </row>
    <row r="24" spans="1:6" x14ac:dyDescent="0.3">
      <c r="A24" s="195" t="s">
        <v>133</v>
      </c>
      <c r="B24" s="186"/>
      <c r="C24" s="186"/>
      <c r="D24" s="186">
        <v>0</v>
      </c>
      <c r="E24" s="186">
        <v>0</v>
      </c>
      <c r="F24" s="187">
        <v>28637</v>
      </c>
    </row>
    <row r="25" spans="1:6" x14ac:dyDescent="0.3">
      <c r="A25" s="195" t="s">
        <v>134</v>
      </c>
      <c r="B25" s="162">
        <v>0</v>
      </c>
      <c r="C25" s="162">
        <v>0</v>
      </c>
      <c r="D25" s="162">
        <v>94573</v>
      </c>
      <c r="E25" s="162">
        <v>119928</v>
      </c>
      <c r="F25" s="163">
        <v>195561</v>
      </c>
    </row>
    <row r="26" spans="1:6" x14ac:dyDescent="0.3">
      <c r="A26" s="195" t="s">
        <v>24</v>
      </c>
      <c r="B26" s="162">
        <v>530382</v>
      </c>
      <c r="C26" s="162">
        <v>544440</v>
      </c>
      <c r="D26" s="162">
        <v>661010</v>
      </c>
      <c r="E26" s="162">
        <v>654813</v>
      </c>
      <c r="F26" s="163">
        <v>914294</v>
      </c>
    </row>
    <row r="27" spans="1:6" x14ac:dyDescent="0.3">
      <c r="A27" s="195" t="s">
        <v>135</v>
      </c>
      <c r="B27" s="162">
        <v>179268</v>
      </c>
      <c r="C27" s="162">
        <v>168092</v>
      </c>
      <c r="D27" s="162">
        <v>184361</v>
      </c>
      <c r="E27" s="162">
        <v>612029</v>
      </c>
      <c r="F27" s="163">
        <v>458008</v>
      </c>
    </row>
    <row r="28" spans="1:6" x14ac:dyDescent="0.3">
      <c r="A28" s="195" t="s">
        <v>136</v>
      </c>
      <c r="B28" s="162">
        <v>71464</v>
      </c>
      <c r="C28" s="162">
        <v>62679</v>
      </c>
      <c r="D28" s="162">
        <v>60420</v>
      </c>
      <c r="E28" s="162">
        <v>54775</v>
      </c>
      <c r="F28" s="163">
        <v>61056</v>
      </c>
    </row>
    <row r="29" spans="1:6" x14ac:dyDescent="0.3">
      <c r="A29" s="195" t="s">
        <v>137</v>
      </c>
      <c r="B29" s="162">
        <v>63978</v>
      </c>
      <c r="C29" s="162">
        <v>61684</v>
      </c>
      <c r="D29" s="162">
        <v>66228</v>
      </c>
      <c r="E29" s="162">
        <v>252112</v>
      </c>
      <c r="F29" s="163">
        <v>240217</v>
      </c>
    </row>
    <row r="30" spans="1:6" x14ac:dyDescent="0.3">
      <c r="A30" s="195" t="s">
        <v>138</v>
      </c>
      <c r="B30" s="162"/>
      <c r="C30" s="162"/>
      <c r="D30" s="162"/>
      <c r="E30" s="162">
        <v>59667</v>
      </c>
      <c r="F30" s="163">
        <v>51351</v>
      </c>
    </row>
    <row r="31" spans="1:6" x14ac:dyDescent="0.3">
      <c r="A31" s="179" t="s">
        <v>139</v>
      </c>
      <c r="B31" s="4">
        <v>717150</v>
      </c>
      <c r="C31" s="4">
        <v>675283</v>
      </c>
      <c r="D31" s="4">
        <v>1671434</v>
      </c>
      <c r="E31" s="4">
        <v>2415726</v>
      </c>
      <c r="F31" s="8">
        <v>2760640</v>
      </c>
    </row>
    <row r="32" spans="1:6" x14ac:dyDescent="0.3">
      <c r="A32" s="194" t="s">
        <v>130</v>
      </c>
      <c r="B32" s="162">
        <v>349555</v>
      </c>
      <c r="C32" s="162">
        <v>263967</v>
      </c>
      <c r="D32" s="162">
        <v>7553</v>
      </c>
      <c r="E32" s="162">
        <v>278850</v>
      </c>
      <c r="F32" s="163">
        <v>165260</v>
      </c>
    </row>
    <row r="33" spans="1:6" x14ac:dyDescent="0.3">
      <c r="A33" s="194" t="s">
        <v>131</v>
      </c>
      <c r="B33" s="162"/>
      <c r="C33" s="162"/>
      <c r="D33" s="162"/>
      <c r="E33" s="162">
        <v>226762</v>
      </c>
      <c r="F33" s="163">
        <v>451042</v>
      </c>
    </row>
    <row r="34" spans="1:6" x14ac:dyDescent="0.3">
      <c r="A34" s="195" t="s">
        <v>140</v>
      </c>
      <c r="B34" s="162">
        <v>9217</v>
      </c>
      <c r="C34" s="162">
        <v>9981</v>
      </c>
      <c r="D34" s="162">
        <v>0</v>
      </c>
      <c r="E34" s="186">
        <v>0</v>
      </c>
      <c r="F34" s="187">
        <v>0</v>
      </c>
    </row>
    <row r="35" spans="1:6" x14ac:dyDescent="0.3">
      <c r="A35" s="195" t="s">
        <v>141</v>
      </c>
      <c r="B35" s="162">
        <v>0</v>
      </c>
      <c r="C35" s="162">
        <v>0</v>
      </c>
      <c r="D35" s="162">
        <v>499</v>
      </c>
      <c r="E35" s="186">
        <v>0</v>
      </c>
      <c r="F35" s="163">
        <v>0</v>
      </c>
    </row>
    <row r="36" spans="1:6" x14ac:dyDescent="0.3">
      <c r="A36" s="195" t="s">
        <v>142</v>
      </c>
      <c r="B36" s="162">
        <v>0</v>
      </c>
      <c r="C36" s="162">
        <v>0</v>
      </c>
      <c r="D36" s="162">
        <v>0</v>
      </c>
      <c r="E36" s="162">
        <v>0</v>
      </c>
      <c r="F36" s="163">
        <v>0</v>
      </c>
    </row>
    <row r="37" spans="1:6" x14ac:dyDescent="0.3">
      <c r="A37" s="194" t="s">
        <v>143</v>
      </c>
      <c r="B37" s="162">
        <v>106282</v>
      </c>
      <c r="C37" s="162">
        <v>146875</v>
      </c>
      <c r="D37" s="162">
        <v>135771</v>
      </c>
      <c r="E37" s="162">
        <v>101776</v>
      </c>
      <c r="F37" s="163">
        <v>90690</v>
      </c>
    </row>
    <row r="38" spans="1:6" x14ac:dyDescent="0.3">
      <c r="A38" s="195" t="s">
        <v>135</v>
      </c>
      <c r="B38" s="162">
        <v>0</v>
      </c>
      <c r="C38" s="162">
        <v>0</v>
      </c>
      <c r="D38" s="162">
        <v>0</v>
      </c>
      <c r="E38" s="162">
        <v>154732</v>
      </c>
      <c r="F38" s="163">
        <v>139117</v>
      </c>
    </row>
    <row r="39" spans="1:6" x14ac:dyDescent="0.3">
      <c r="A39" s="194" t="s">
        <v>134</v>
      </c>
      <c r="B39" s="162">
        <v>0</v>
      </c>
      <c r="C39" s="162">
        <v>0</v>
      </c>
      <c r="D39" s="162">
        <v>1055247</v>
      </c>
      <c r="E39" s="162">
        <v>1106471</v>
      </c>
      <c r="F39" s="163">
        <v>1295100</v>
      </c>
    </row>
    <row r="40" spans="1:6" x14ac:dyDescent="0.3">
      <c r="A40" s="195" t="s">
        <v>144</v>
      </c>
      <c r="B40" s="162">
        <v>252096</v>
      </c>
      <c r="C40" s="162">
        <v>254460</v>
      </c>
      <c r="D40" s="162">
        <v>472364</v>
      </c>
      <c r="E40" s="162">
        <v>547135</v>
      </c>
      <c r="F40" s="163">
        <v>619431</v>
      </c>
    </row>
    <row r="41" spans="1:6" x14ac:dyDescent="0.3">
      <c r="A41" s="179" t="s">
        <v>145</v>
      </c>
      <c r="B41" s="4">
        <v>40008</v>
      </c>
      <c r="C41" s="4">
        <v>191464</v>
      </c>
      <c r="D41" s="4">
        <v>1168664</v>
      </c>
      <c r="E41" s="4">
        <v>1712072</v>
      </c>
      <c r="F41" s="8">
        <v>2224635</v>
      </c>
    </row>
    <row r="42" spans="1:6" x14ac:dyDescent="0.3">
      <c r="A42" s="195" t="s">
        <v>146</v>
      </c>
      <c r="B42" s="162">
        <v>300033</v>
      </c>
      <c r="C42" s="162">
        <v>302781</v>
      </c>
      <c r="D42" s="162">
        <v>955277</v>
      </c>
      <c r="E42" s="162">
        <v>1815485</v>
      </c>
      <c r="F42" s="163">
        <v>1823527</v>
      </c>
    </row>
    <row r="43" spans="1:6" x14ac:dyDescent="0.3">
      <c r="A43" s="195" t="s">
        <v>147</v>
      </c>
      <c r="B43" s="162">
        <v>156485</v>
      </c>
      <c r="C43" s="162">
        <v>157647</v>
      </c>
      <c r="D43" s="162">
        <v>171444</v>
      </c>
      <c r="E43" s="162">
        <v>194460</v>
      </c>
      <c r="F43" s="163">
        <v>224967</v>
      </c>
    </row>
    <row r="44" spans="1:6" x14ac:dyDescent="0.3">
      <c r="A44" s="195" t="s">
        <v>148</v>
      </c>
      <c r="B44" s="162">
        <v>0</v>
      </c>
      <c r="C44" s="162">
        <v>0</v>
      </c>
      <c r="D44" s="162">
        <v>43079</v>
      </c>
      <c r="E44" s="162">
        <v>0</v>
      </c>
      <c r="F44" s="163">
        <v>159770</v>
      </c>
    </row>
    <row r="45" spans="1:6" x14ac:dyDescent="0.3">
      <c r="A45" s="165" t="s">
        <v>149</v>
      </c>
      <c r="B45" s="162">
        <v>-416510</v>
      </c>
      <c r="C45" s="162">
        <v>-268964</v>
      </c>
      <c r="D45" s="162">
        <v>-1136</v>
      </c>
      <c r="E45" s="162">
        <v>-309453</v>
      </c>
      <c r="F45" s="163">
        <v>645</v>
      </c>
    </row>
    <row r="46" spans="1:6" x14ac:dyDescent="0.3">
      <c r="A46" s="165" t="s">
        <v>150</v>
      </c>
      <c r="B46" s="162"/>
      <c r="C46" s="162"/>
      <c r="D46" s="186">
        <v>0</v>
      </c>
      <c r="E46" s="186">
        <v>11580</v>
      </c>
      <c r="F46" s="163">
        <v>15726</v>
      </c>
    </row>
    <row r="47" spans="1:6" ht="15" thickBot="1" x14ac:dyDescent="0.35">
      <c r="A47" s="196" t="s">
        <v>151</v>
      </c>
      <c r="B47" s="6">
        <v>1625360</v>
      </c>
      <c r="C47" s="6">
        <v>1798300</v>
      </c>
      <c r="D47" s="6">
        <v>3933727</v>
      </c>
      <c r="E47" s="6">
        <v>5974397</v>
      </c>
      <c r="F47" s="9">
        <v>7146492</v>
      </c>
    </row>
  </sheetData>
  <pageMargins left="0.511811024" right="0.511811024" top="0.78740157499999996" bottom="0.78740157499999996" header="0.31496062000000002" footer="0.31496062000000002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72DED-57B8-441E-ADE6-8908F818628C}">
  <sheetPr codeName="Planilha2">
    <tabColor theme="5" tint="0.79998168889431442"/>
  </sheetPr>
  <dimension ref="A1:F20"/>
  <sheetViews>
    <sheetView showGridLines="0" workbookViewId="0">
      <selection activeCell="A14" sqref="A14"/>
    </sheetView>
  </sheetViews>
  <sheetFormatPr defaultRowHeight="14.4" x14ac:dyDescent="0.3"/>
  <cols>
    <col min="1" max="1" width="43.5546875" bestFit="1" customWidth="1"/>
    <col min="2" max="2" width="13.6640625" customWidth="1"/>
    <col min="3" max="3" width="12.21875" customWidth="1"/>
    <col min="4" max="4" width="15.21875" customWidth="1"/>
    <col min="5" max="5" width="14.21875" customWidth="1"/>
    <col min="6" max="6" width="22.77734375" customWidth="1"/>
    <col min="7" max="7" width="26.88671875" customWidth="1"/>
  </cols>
  <sheetData>
    <row r="1" spans="1:6" x14ac:dyDescent="0.3">
      <c r="A1" s="275" t="s">
        <v>177</v>
      </c>
      <c r="B1" s="276"/>
      <c r="C1" s="276"/>
      <c r="D1" s="276"/>
      <c r="E1" s="276"/>
      <c r="F1" s="277"/>
    </row>
    <row r="2" spans="1:6" x14ac:dyDescent="0.3">
      <c r="A2" s="201"/>
      <c r="B2" s="197">
        <v>17</v>
      </c>
      <c r="C2" s="197">
        <v>18</v>
      </c>
      <c r="D2" s="197">
        <v>19</v>
      </c>
      <c r="E2" s="197">
        <v>20</v>
      </c>
      <c r="F2" s="202">
        <v>21</v>
      </c>
    </row>
    <row r="3" spans="1:6" x14ac:dyDescent="0.3">
      <c r="A3" s="203" t="s">
        <v>178</v>
      </c>
      <c r="B3" s="198">
        <f>BALANÇO!B20</f>
        <v>868202</v>
      </c>
      <c r="C3" s="198">
        <f>BALANÇO!C20</f>
        <v>931553</v>
      </c>
      <c r="D3" s="198">
        <f>BALANÇO!D20</f>
        <v>1093629</v>
      </c>
      <c r="E3" s="198">
        <f>BALANÇO!E20</f>
        <v>1846599</v>
      </c>
      <c r="F3" s="204">
        <f>BALANÇO!F20</f>
        <v>2161217</v>
      </c>
    </row>
    <row r="4" spans="1:6" x14ac:dyDescent="0.3">
      <c r="A4" s="201"/>
      <c r="B4" s="199"/>
      <c r="C4" s="199"/>
      <c r="D4" s="199"/>
      <c r="E4" s="199"/>
      <c r="F4" s="205"/>
    </row>
    <row r="5" spans="1:6" x14ac:dyDescent="0.3">
      <c r="A5" s="201" t="s">
        <v>179</v>
      </c>
      <c r="B5" s="199">
        <f>BALANÇO!B21</f>
        <v>23110</v>
      </c>
      <c r="C5" s="199">
        <f>BALANÇO!C21</f>
        <v>94658</v>
      </c>
      <c r="D5" s="199">
        <f>BALANÇO!D21</f>
        <v>27037</v>
      </c>
      <c r="E5" s="199">
        <f>BALANÇO!E21</f>
        <v>93275</v>
      </c>
      <c r="F5" s="205">
        <f>BALANÇO!F21</f>
        <v>129733</v>
      </c>
    </row>
    <row r="6" spans="1:6" x14ac:dyDescent="0.3">
      <c r="A6" s="201" t="s">
        <v>131</v>
      </c>
      <c r="B6" s="199">
        <f>BALANÇO!B22</f>
        <v>0</v>
      </c>
      <c r="C6" s="199">
        <f>BALANÇO!C22</f>
        <v>0</v>
      </c>
      <c r="D6" s="199">
        <f>BALANÇO!D22</f>
        <v>0</v>
      </c>
      <c r="E6" s="199">
        <f>BALANÇO!E22</f>
        <v>0</v>
      </c>
      <c r="F6" s="205">
        <f>BALANÇO!F22</f>
        <v>77743</v>
      </c>
    </row>
    <row r="7" spans="1:6" x14ac:dyDescent="0.3">
      <c r="A7" s="203" t="s">
        <v>180</v>
      </c>
      <c r="B7" s="198">
        <f>BALANÇO!B31</f>
        <v>717150</v>
      </c>
      <c r="C7" s="198">
        <f>BALANÇO!C31</f>
        <v>675283</v>
      </c>
      <c r="D7" s="198">
        <f>BALANÇO!D31</f>
        <v>1671434</v>
      </c>
      <c r="E7" s="198">
        <f>BALANÇO!E31</f>
        <v>2415726</v>
      </c>
      <c r="F7" s="204">
        <f>BALANÇO!F31</f>
        <v>2760640</v>
      </c>
    </row>
    <row r="8" spans="1:6" x14ac:dyDescent="0.3">
      <c r="A8" s="201" t="s">
        <v>179</v>
      </c>
      <c r="B8" s="199">
        <f>BALANÇO!B32</f>
        <v>349555</v>
      </c>
      <c r="C8" s="199">
        <f>BALANÇO!C32</f>
        <v>263967</v>
      </c>
      <c r="D8" s="199">
        <f>BALANÇO!D32</f>
        <v>7553</v>
      </c>
      <c r="E8" s="199">
        <f>BALANÇO!E32</f>
        <v>278850</v>
      </c>
      <c r="F8" s="205">
        <f>BALANÇO!F32</f>
        <v>165260</v>
      </c>
    </row>
    <row r="9" spans="1:6" x14ac:dyDescent="0.3">
      <c r="A9" s="201" t="s">
        <v>131</v>
      </c>
      <c r="B9" s="199">
        <f>BALANÇO!B33</f>
        <v>0</v>
      </c>
      <c r="C9" s="199">
        <f>BALANÇO!C33</f>
        <v>0</v>
      </c>
      <c r="D9" s="199">
        <f>BALANÇO!D33</f>
        <v>0</v>
      </c>
      <c r="E9" s="199">
        <f>BALANÇO!E33</f>
        <v>226762</v>
      </c>
      <c r="F9" s="205">
        <f>BALANÇO!F33</f>
        <v>451042</v>
      </c>
    </row>
    <row r="10" spans="1:6" x14ac:dyDescent="0.3">
      <c r="A10" s="203" t="s">
        <v>182</v>
      </c>
      <c r="B10" s="198">
        <f>B5+B6+B8+B9</f>
        <v>372665</v>
      </c>
      <c r="C10" s="198">
        <f t="shared" ref="C10:E10" si="0">C5+C6+C8+C9</f>
        <v>358625</v>
      </c>
      <c r="D10" s="198">
        <f t="shared" si="0"/>
        <v>34590</v>
      </c>
      <c r="E10" s="198">
        <f t="shared" si="0"/>
        <v>598887</v>
      </c>
      <c r="F10" s="204">
        <f>F5+F6+F8+F9</f>
        <v>823778</v>
      </c>
    </row>
    <row r="11" spans="1:6" x14ac:dyDescent="0.3">
      <c r="A11" s="201" t="s">
        <v>181</v>
      </c>
      <c r="B11" s="199">
        <f>BALANÇO!B41</f>
        <v>40008</v>
      </c>
      <c r="C11" s="199">
        <f>BALANÇO!C41</f>
        <v>191464</v>
      </c>
      <c r="D11" s="199">
        <f>BALANÇO!D41</f>
        <v>1168664</v>
      </c>
      <c r="E11" s="199">
        <f>BALANÇO!E41</f>
        <v>1712072</v>
      </c>
      <c r="F11" s="205">
        <f>BALANÇO!F41</f>
        <v>2224635</v>
      </c>
    </row>
    <row r="12" spans="1:6" x14ac:dyDescent="0.3">
      <c r="A12" s="203" t="s">
        <v>183</v>
      </c>
      <c r="B12" s="198">
        <f>B11</f>
        <v>40008</v>
      </c>
      <c r="C12" s="198">
        <f t="shared" ref="C12:F12" si="1">C11</f>
        <v>191464</v>
      </c>
      <c r="D12" s="198">
        <f t="shared" si="1"/>
        <v>1168664</v>
      </c>
      <c r="E12" s="198">
        <f>E11</f>
        <v>1712072</v>
      </c>
      <c r="F12" s="204">
        <f t="shared" si="1"/>
        <v>2224635</v>
      </c>
    </row>
    <row r="13" spans="1:6" x14ac:dyDescent="0.3">
      <c r="A13" s="201"/>
      <c r="B13" s="199"/>
      <c r="C13" s="199"/>
      <c r="D13" s="199"/>
      <c r="E13" s="199"/>
      <c r="F13" s="205"/>
    </row>
    <row r="14" spans="1:6" x14ac:dyDescent="0.3">
      <c r="A14" s="206" t="s">
        <v>185</v>
      </c>
      <c r="B14" s="200">
        <f>B10/(B10+B12)</f>
        <v>0.90305156867544034</v>
      </c>
      <c r="C14" s="200">
        <f t="shared" ref="C14:E14" si="2">C10/(C10+C12)</f>
        <v>0.65193995880666578</v>
      </c>
      <c r="D14" s="200">
        <f t="shared" si="2"/>
        <v>2.8747047589287051E-2</v>
      </c>
      <c r="E14" s="200">
        <f t="shared" si="2"/>
        <v>0.25915085468846483</v>
      </c>
      <c r="F14" s="207">
        <f>F10/(F10+F12)</f>
        <v>0.27023175665502019</v>
      </c>
    </row>
    <row r="15" spans="1:6" ht="15" thickBot="1" x14ac:dyDescent="0.35">
      <c r="A15" s="208" t="s">
        <v>184</v>
      </c>
      <c r="B15" s="209">
        <f>B12/(B10+B12)</f>
        <v>9.6948431324559645E-2</v>
      </c>
      <c r="C15" s="209">
        <f t="shared" ref="C15:E15" si="3">C12/(C10+C12)</f>
        <v>0.34806004119333417</v>
      </c>
      <c r="D15" s="209">
        <f t="shared" si="3"/>
        <v>0.97125295241071297</v>
      </c>
      <c r="E15" s="209">
        <f t="shared" si="3"/>
        <v>0.74084914531153512</v>
      </c>
      <c r="F15" s="210">
        <f t="shared" ref="F15" si="4">F12/(F10+F12)</f>
        <v>0.72976824334497981</v>
      </c>
    </row>
    <row r="19" spans="4:4" x14ac:dyDescent="0.3">
      <c r="D19" s="14"/>
    </row>
    <row r="20" spans="4:4" x14ac:dyDescent="0.3">
      <c r="D20" s="14"/>
    </row>
  </sheetData>
  <mergeCells count="1">
    <mergeCell ref="A1:F1"/>
  </mergeCells>
  <pageMargins left="0.511811024" right="0.511811024" top="0.78740157499999996" bottom="0.78740157499999996" header="0.31496062000000002" footer="0.31496062000000002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CENÁRIOS</vt:lpstr>
      <vt:lpstr>VALUATION</vt:lpstr>
      <vt:lpstr>Projeção Receita</vt:lpstr>
      <vt:lpstr>CAPEX</vt:lpstr>
      <vt:lpstr>DRE</vt:lpstr>
      <vt:lpstr>BALANÇO</vt:lpstr>
      <vt:lpstr>Estrutura de Capital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ALONSO CASELLA</dc:creator>
  <cp:lastModifiedBy>JOÃO ALONSO CASELLA</cp:lastModifiedBy>
  <dcterms:created xsi:type="dcterms:W3CDTF">2022-05-20T17:21:51Z</dcterms:created>
  <dcterms:modified xsi:type="dcterms:W3CDTF">2023-10-02T20:07:09Z</dcterms:modified>
</cp:coreProperties>
</file>